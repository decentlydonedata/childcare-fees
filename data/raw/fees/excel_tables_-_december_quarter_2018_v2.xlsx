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chloe\Downloads\ECC3479\childcare-fees\data\raw\fees\"/>
    </mc:Choice>
  </mc:AlternateContent>
  <xr:revisionPtr revIDLastSave="0" documentId="13_ncr:1_{BAD2F45B-B56B-4F39-9A43-E4FB27298348}" xr6:coauthVersionLast="47" xr6:coauthVersionMax="47" xr10:uidLastSave="{00000000-0000-0000-0000-000000000000}"/>
  <bookViews>
    <workbookView xWindow="-120" yWindow="-120" windowWidth="29040" windowHeight="15720" activeTab="9" xr2:uid="{00000000-000D-0000-FFFF-FFFF00000000}"/>
  </bookViews>
  <sheets>
    <sheet name="Contents" sheetId="5" r:id="rId1"/>
    <sheet name="Summary " sheetId="6" r:id="rId2"/>
    <sheet name="Children" sheetId="1" r:id="rId3"/>
    <sheet name="Families" sheetId="2" r:id="rId4"/>
    <sheet name="Services" sheetId="3" r:id="rId5"/>
    <sheet name="Ave Hourly Fees" sheetId="4" r:id="rId6"/>
    <sheet name="Statistical Area" sheetId="7" r:id="rId7"/>
    <sheet name="Ave Weekly Hours" sheetId="8" r:id="rId8"/>
    <sheet name="ACCS" sheetId="9" r:id="rId9"/>
    <sheet name="CBDC fees" sheetId="10" r:id="rId10"/>
    <sheet name="OSHC fees" sheetId="11"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 i="10" l="1" a="1"/>
  <c r="A6" i="10"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<sst xmlns="http://schemas.openxmlformats.org/spreadsheetml/2006/main" count="2749" uniqueCount="553">
  <si>
    <t/>
  </si>
  <si>
    <t>Total Children</t>
  </si>
  <si>
    <t>NSW</t>
  </si>
  <si>
    <t>Vic.</t>
  </si>
  <si>
    <t>Qld</t>
  </si>
  <si>
    <t>SA</t>
  </si>
  <si>
    <t>WA</t>
  </si>
  <si>
    <t>Tas.</t>
  </si>
  <si>
    <t>NT</t>
  </si>
  <si>
    <t>ACT</t>
  </si>
  <si>
    <t>Australia</t>
  </si>
  <si>
    <t>Centre-based Day Care</t>
  </si>
  <si>
    <t>Family Day Care</t>
  </si>
  <si>
    <t>In Home Care</t>
  </si>
  <si>
    <t>Outside School Hours Care</t>
  </si>
  <si>
    <t>Total*</t>
  </si>
  <si>
    <t>Total Indigenous Children</t>
  </si>
  <si>
    <t>Total Families</t>
  </si>
  <si>
    <t>Total Indigenous Families</t>
  </si>
  <si>
    <t>Average hourly fee</t>
  </si>
  <si>
    <t>Australia*</t>
  </si>
  <si>
    <t>Average Hourly Fee</t>
  </si>
  <si>
    <t>State and Territory</t>
  </si>
  <si>
    <t>Number of
children using
approved
child care*</t>
  </si>
  <si>
    <t>Number of
families using
approved child care*</t>
  </si>
  <si>
    <t>Number of
approved
child care
services</t>
  </si>
  <si>
    <t xml:space="preserve">Tables </t>
  </si>
  <si>
    <t xml:space="preserve">Summary Data </t>
  </si>
  <si>
    <t>Children</t>
  </si>
  <si>
    <t>Families</t>
  </si>
  <si>
    <t>Services</t>
  </si>
  <si>
    <t xml:space="preserve">Average Hourly Fees </t>
  </si>
  <si>
    <t>Dec. 2017</t>
  </si>
  <si>
    <t>Mar. 2018</t>
  </si>
  <si>
    <t>Jun. 2018</t>
  </si>
  <si>
    <t>Sep. 2018</t>
  </si>
  <si>
    <t>Average Weekly Hours</t>
  </si>
  <si>
    <t xml:space="preserve"> NSW</t>
  </si>
  <si>
    <t xml:space="preserve"> Vic.</t>
  </si>
  <si>
    <t xml:space="preserve"> Qld</t>
  </si>
  <si>
    <t xml:space="preserve"> SA</t>
  </si>
  <si>
    <t xml:space="preserve"> WA</t>
  </si>
  <si>
    <t xml:space="preserve"> Tas.</t>
  </si>
  <si>
    <t xml:space="preserve"> NT</t>
  </si>
  <si>
    <t xml:space="preserve"> ACT</t>
  </si>
  <si>
    <t xml:space="preserve"> Australia</t>
  </si>
  <si>
    <t xml:space="preserve"> Centre Based Day Care</t>
  </si>
  <si>
    <t xml:space="preserve"> Family Day Care</t>
  </si>
  <si>
    <t xml:space="preserve"> Outside School Hours Care</t>
  </si>
  <si>
    <t>*As families and children may use services in more than one state or territory, and due to rounding, the sum of the component parts may not equal the total.</t>
  </si>
  <si>
    <t>*As children may use services in more than one state or territory, and due to rounding, the sum of the component parts may not equal the total.</t>
  </si>
  <si>
    <t>Source: Department of Education and Training administrative data.</t>
  </si>
  <si>
    <t>Additional Child Care Subsidy</t>
  </si>
  <si>
    <t>Child Well being</t>
  </si>
  <si>
    <t>Grandparent</t>
  </si>
  <si>
    <t>Temporary Financial hardship</t>
  </si>
  <si>
    <t>Transition To Work</t>
  </si>
  <si>
    <t>Table S1: Child care children, families, services and estimated entitlements by state and territory, December quarter 2018</t>
  </si>
  <si>
    <t>Australia*^</t>
  </si>
  <si>
    <t>^ Includes In Home Care</t>
  </si>
  <si>
    <t># Includes Child Care Subsidy (CCS) and Additional Child Care Subsidy (ACCS)</t>
  </si>
  <si>
    <t>Dec. 2018</t>
  </si>
  <si>
    <t>Table 1.1: Number of children using child care, December quarter 2017 to December quarter 2018</t>
  </si>
  <si>
    <t>Table 1.2: Number of Children by state and territory, December quarter 2018</t>
  </si>
  <si>
    <t>Table 1.3: Number of Children by service type and region, December quarter 2018</t>
  </si>
  <si>
    <t>Table 1.4: Number of Indigenous children using child care, December quarter 2017 to December quarter 2018</t>
  </si>
  <si>
    <t>Table 1.5 Number of Indigenous Children by state/territory, December quarter 2018</t>
  </si>
  <si>
    <t>Table 1.6:  Number of Indigenous Children by service type and region, December quarter 2018</t>
  </si>
  <si>
    <t>Table 2.1:  Number of families using child care, December quarter 2017 to December quarter 2018</t>
  </si>
  <si>
    <t>Table 2.2: Number of families using child care by state and territory, December quarter 2018</t>
  </si>
  <si>
    <t>Table 2.3 Number of families by service type and region, December quarter 2018</t>
  </si>
  <si>
    <t>Table 2.4: Number of Indigenous families using child care, December quarter 2017 to December quarter 2018</t>
  </si>
  <si>
    <t>Table 2.5:  Number of Indigenous Families by state/territory, December quarter 2018</t>
  </si>
  <si>
    <t>Table 2.6: Number of Indigenous families by service type and region, December quarter 2018</t>
  </si>
  <si>
    <t>Table 3.1: Number of services by state/territory, December quarter 2018</t>
  </si>
  <si>
    <t>Table 4.1:  Average hourly fee, December quarter 2017 to December quarter 2018</t>
  </si>
  <si>
    <t>Table 4.2:  Average hourly fee by service type, December quarter 2018</t>
  </si>
  <si>
    <t>Table 5.1: Number of Children by SA3, December quarter 2018</t>
  </si>
  <si>
    <t>Table 6.1: Average weekly hours (per child) by service type and state and territory, December quarter 2018</t>
  </si>
  <si>
    <t>* As children may use more than one service type in more than one state or territory in any particular quarter and due to rounding, the sum of the component parts may not equal the Total.</t>
  </si>
  <si>
    <t>Note: In-home care data by state and territory has been excluded  due to privacy considerations.</t>
  </si>
  <si>
    <r>
      <t xml:space="preserve">Estimated
Total 
Entitlements
('000) </t>
    </r>
    <r>
      <rPr>
        <b/>
        <vertAlign val="superscript"/>
        <sz val="11"/>
        <color rgb="FF112277"/>
        <rFont val="Calibri"/>
        <family val="2"/>
        <scheme val="minor"/>
      </rPr>
      <t>#</t>
    </r>
  </si>
  <si>
    <t>Total^</t>
  </si>
  <si>
    <r>
      <t>Total</t>
    </r>
    <r>
      <rPr>
        <b/>
        <vertAlign val="superscript"/>
        <sz val="11"/>
        <color theme="1"/>
        <rFont val="Calibri"/>
        <family val="2"/>
        <scheme val="minor"/>
      </rPr>
      <t>#</t>
    </r>
  </si>
  <si>
    <t>Total*^</t>
  </si>
  <si>
    <r>
      <t>Total*</t>
    </r>
    <r>
      <rPr>
        <b/>
        <vertAlign val="superscript"/>
        <sz val="11"/>
        <color theme="1"/>
        <rFont val="Calibri"/>
        <family val="2"/>
        <scheme val="minor"/>
      </rPr>
      <t>#</t>
    </r>
  </si>
  <si>
    <t># Excludes In Home Care</t>
  </si>
  <si>
    <t>&lt;5</t>
  </si>
  <si>
    <t>* Hourly fee for each service type is calculated by dividing the sum of all charged fee amounts by the sum of all charged hours for each service type. Excludes In Home Care</t>
  </si>
  <si>
    <t>SA3 code 2016</t>
  </si>
  <si>
    <t>SA3 name 2016</t>
  </si>
  <si>
    <t>Number of children</t>
  </si>
  <si>
    <t>Statistical Area</t>
  </si>
  <si>
    <t>Queanbeyan</t>
  </si>
  <si>
    <t>Snowy Mountains</t>
  </si>
  <si>
    <t>South Coast</t>
  </si>
  <si>
    <t>Goulburn - Mulwaree</t>
  </si>
  <si>
    <t>Young - Yass</t>
  </si>
  <si>
    <t>Gosford</t>
  </si>
  <si>
    <t>Wyong</t>
  </si>
  <si>
    <t>Bathurst</t>
  </si>
  <si>
    <t>Lachlan Valley</t>
  </si>
  <si>
    <t>Lithgow - Mudgee</t>
  </si>
  <si>
    <t>Orange</t>
  </si>
  <si>
    <t>Clarence Valley</t>
  </si>
  <si>
    <t>Coffs Harbour</t>
  </si>
  <si>
    <t>Bourke - Cobar - Coonamble</t>
  </si>
  <si>
    <t>Broken Hill and Far West</t>
  </si>
  <si>
    <t>Dubbo</t>
  </si>
  <si>
    <t>Lower Hunter</t>
  </si>
  <si>
    <t>Maitland</t>
  </si>
  <si>
    <t>Port Stephens</t>
  </si>
  <si>
    <t>Upper Hunter</t>
  </si>
  <si>
    <t>Dapto - Port Kembla</t>
  </si>
  <si>
    <t>Kiama - Shellharbour</t>
  </si>
  <si>
    <t>Wollongong</t>
  </si>
  <si>
    <t>Great Lakes</t>
  </si>
  <si>
    <t>Kempsey - Nambucca</t>
  </si>
  <si>
    <t>Port Macquarie</t>
  </si>
  <si>
    <t>Taree - Gloucester</t>
  </si>
  <si>
    <t>Albury</t>
  </si>
  <si>
    <t>Lower Murray</t>
  </si>
  <si>
    <t>Upper Murray exc. Albury</t>
  </si>
  <si>
    <t>Armidale</t>
  </si>
  <si>
    <t>Inverell - Tenterfield</t>
  </si>
  <si>
    <t>Moree - Narrabri</t>
  </si>
  <si>
    <t>Tamworth - Gunnedah</t>
  </si>
  <si>
    <t>Lake Macquarie - East</t>
  </si>
  <si>
    <t>Lake Macquarie - West</t>
  </si>
  <si>
    <t>Newcastle</t>
  </si>
  <si>
    <t>Richmond Valley - Coastal</t>
  </si>
  <si>
    <t>Richmond Valley - Hinterland</t>
  </si>
  <si>
    <t>Tweed Valley</t>
  </si>
  <si>
    <t>Griffith - Murrumbidgee (West)</t>
  </si>
  <si>
    <t>Tumut - Tumbarumba</t>
  </si>
  <si>
    <t>Wagga Wagga</t>
  </si>
  <si>
    <t>Shoalhaven</t>
  </si>
  <si>
    <t>Southern Highlands</t>
  </si>
  <si>
    <t>Baulkham Hills</t>
  </si>
  <si>
    <t>Dural - Wisemans Ferry</t>
  </si>
  <si>
    <t>Hawkesbury</t>
  </si>
  <si>
    <t>Rouse Hill - McGraths Hill</t>
  </si>
  <si>
    <t>Blacktown</t>
  </si>
  <si>
    <t>Blacktown - North</t>
  </si>
  <si>
    <t>Mount Druitt</t>
  </si>
  <si>
    <t>Botany</t>
  </si>
  <si>
    <t>Marrickville - Sydenham - Petersham</t>
  </si>
  <si>
    <t>Sydney Inner City</t>
  </si>
  <si>
    <t>Eastern Suburbs - North</t>
  </si>
  <si>
    <t>Eastern Suburbs - South</t>
  </si>
  <si>
    <t>Bankstown</t>
  </si>
  <si>
    <t>Canterbury</t>
  </si>
  <si>
    <t>Hurstville</t>
  </si>
  <si>
    <t>Kogarah - Rockdale</t>
  </si>
  <si>
    <t>Canada Bay</t>
  </si>
  <si>
    <t>Leichhardt</t>
  </si>
  <si>
    <t>Strathfield - Burwood - Ashfield</t>
  </si>
  <si>
    <t>Chatswood - Lane Cove</t>
  </si>
  <si>
    <t>Hornsby</t>
  </si>
  <si>
    <t>Ku-ring-gai</t>
  </si>
  <si>
    <t>North Sydney - Mosman</t>
  </si>
  <si>
    <t>Manly</t>
  </si>
  <si>
    <t>Pittwater</t>
  </si>
  <si>
    <t>Warringah</t>
  </si>
  <si>
    <t>Camden</t>
  </si>
  <si>
    <t>Campbelltown (NSW)</t>
  </si>
  <si>
    <t>Wollondilly</t>
  </si>
  <si>
    <t>Blue Mountains</t>
  </si>
  <si>
    <t>Penrith</t>
  </si>
  <si>
    <t>Richmond - Windsor</t>
  </si>
  <si>
    <t>St Marys</t>
  </si>
  <si>
    <t>Auburn</t>
  </si>
  <si>
    <t>Carlingford</t>
  </si>
  <si>
    <t>Merrylands - Guildford</t>
  </si>
  <si>
    <t>Parramatta</t>
  </si>
  <si>
    <t>Pennant Hills - Epping</t>
  </si>
  <si>
    <t>Ryde - Hunters Hill</t>
  </si>
  <si>
    <t>Bringelly - Green Valley</t>
  </si>
  <si>
    <t>Fairfield</t>
  </si>
  <si>
    <t>Liverpool</t>
  </si>
  <si>
    <t>Cronulla - Miranda - Caringbah</t>
  </si>
  <si>
    <t>Sutherland - Menai - Heathcote</t>
  </si>
  <si>
    <t>Ballarat</t>
  </si>
  <si>
    <t>Creswick - Daylesford - Ballan</t>
  </si>
  <si>
    <t>Maryborough - Pyrenees</t>
  </si>
  <si>
    <t>Bendigo</t>
  </si>
  <si>
    <t>Heathcote - Castlemaine - Kyneton</t>
  </si>
  <si>
    <t>Barwon - West</t>
  </si>
  <si>
    <t>Geelong</t>
  </si>
  <si>
    <t>Surf Coast - Bellarine Peninsula</t>
  </si>
  <si>
    <t>Upper Goulburn Valley</t>
  </si>
  <si>
    <t>Wangaratta - Benalla</t>
  </si>
  <si>
    <t>Wodonga - Alpine</t>
  </si>
  <si>
    <t>Baw Baw</t>
  </si>
  <si>
    <t>Gippsland - East</t>
  </si>
  <si>
    <t>Gippsland - South West</t>
  </si>
  <si>
    <t>Latrobe Valley</t>
  </si>
  <si>
    <t>Wellington</t>
  </si>
  <si>
    <t>Brunswick - Coburg</t>
  </si>
  <si>
    <t>Darebin - South</t>
  </si>
  <si>
    <t>Essendon</t>
  </si>
  <si>
    <t>Melbourne City</t>
  </si>
  <si>
    <t>Port Phillip</t>
  </si>
  <si>
    <t>Stonnington - West</t>
  </si>
  <si>
    <t>Yarra</t>
  </si>
  <si>
    <t>Boroondara</t>
  </si>
  <si>
    <t>Manningham - West</t>
  </si>
  <si>
    <t>Whitehorse - West</t>
  </si>
  <si>
    <t>Bayside</t>
  </si>
  <si>
    <t>Glen Eira</t>
  </si>
  <si>
    <t>Kingston</t>
  </si>
  <si>
    <t>Stonnington - East</t>
  </si>
  <si>
    <t>Banyule</t>
  </si>
  <si>
    <t>Darebin - North</t>
  </si>
  <si>
    <t>Nillumbik - Kinglake</t>
  </si>
  <si>
    <t>Whittlesea - Wallan</t>
  </si>
  <si>
    <t>Keilor</t>
  </si>
  <si>
    <t>Macedon Ranges</t>
  </si>
  <si>
    <t>Moreland - North</t>
  </si>
  <si>
    <t>Sunbury</t>
  </si>
  <si>
    <t>Tullamarine - Broadmeadows</t>
  </si>
  <si>
    <t>Knox</t>
  </si>
  <si>
    <t>Manningham - East</t>
  </si>
  <si>
    <t>Maroondah</t>
  </si>
  <si>
    <t>Whitehorse - East</t>
  </si>
  <si>
    <t>Yarra Ranges</t>
  </si>
  <si>
    <t>Cardinia</t>
  </si>
  <si>
    <t>Casey - North</t>
  </si>
  <si>
    <t>Casey - South</t>
  </si>
  <si>
    <t>Dandenong</t>
  </si>
  <si>
    <t>Monash</t>
  </si>
  <si>
    <t>Brimbank</t>
  </si>
  <si>
    <t>Hobsons Bay</t>
  </si>
  <si>
    <t>Maribyrnong</t>
  </si>
  <si>
    <t>Melton - Bacchus Marsh</t>
  </si>
  <si>
    <t>Wyndham</t>
  </si>
  <si>
    <t>Frankston</t>
  </si>
  <si>
    <t>Mornington Peninsula</t>
  </si>
  <si>
    <t>Grampians</t>
  </si>
  <si>
    <t>Mildura</t>
  </si>
  <si>
    <t>Murray River - Swan Hill</t>
  </si>
  <si>
    <t>Campaspe</t>
  </si>
  <si>
    <t>Moira</t>
  </si>
  <si>
    <t>Shepparton</t>
  </si>
  <si>
    <t>Glenelg - Southern Grampians</t>
  </si>
  <si>
    <t>Colac - Corangamite</t>
  </si>
  <si>
    <t>Warrnambool</t>
  </si>
  <si>
    <t>Capalaba</t>
  </si>
  <si>
    <t>Cleveland - Stradbroke</t>
  </si>
  <si>
    <t>Wynnum - Manly</t>
  </si>
  <si>
    <t>Bald Hills - Everton Park</t>
  </si>
  <si>
    <t>Chermside</t>
  </si>
  <si>
    <t>Nundah</t>
  </si>
  <si>
    <t>Sandgate</t>
  </si>
  <si>
    <t>Carindale</t>
  </si>
  <si>
    <t>Holland Park - Yeronga</t>
  </si>
  <si>
    <t>Mt Gravatt</t>
  </si>
  <si>
    <t>Nathan</t>
  </si>
  <si>
    <t>Rocklea - Acacia Ridge</t>
  </si>
  <si>
    <t>Sunnybank</t>
  </si>
  <si>
    <t>Centenary</t>
  </si>
  <si>
    <t>Kenmore - Brookfield - Moggill</t>
  </si>
  <si>
    <t>Sherwood - Indooroopilly</t>
  </si>
  <si>
    <t>The Gap - Enoggera</t>
  </si>
  <si>
    <t>Brisbane Inner</t>
  </si>
  <si>
    <t>Brisbane Inner - East</t>
  </si>
  <si>
    <t>Brisbane Inner - North</t>
  </si>
  <si>
    <t>Brisbane Inner - West</t>
  </si>
  <si>
    <t>Cairns - North</t>
  </si>
  <si>
    <t>Cairns - South</t>
  </si>
  <si>
    <t>Innisfail - Cassowary Coast</t>
  </si>
  <si>
    <t>Port Douglas - Daintree</t>
  </si>
  <si>
    <t>Tablelands (East) - Kuranda</t>
  </si>
  <si>
    <t>Darling Downs (West) - Maranoa</t>
  </si>
  <si>
    <t>Darling Downs - East</t>
  </si>
  <si>
    <t>Granite Belt</t>
  </si>
  <si>
    <t>Central Highlands (Qld)</t>
  </si>
  <si>
    <t>Rockhampton</t>
  </si>
  <si>
    <t>Biloela</t>
  </si>
  <si>
    <t>Gladstone</t>
  </si>
  <si>
    <t>Broadbeach - Burleigh</t>
  </si>
  <si>
    <t>Coolangatta</t>
  </si>
  <si>
    <t>Gold Coast - North</t>
  </si>
  <si>
    <t>Gold Coast Hinterland</t>
  </si>
  <si>
    <t>Mudgeeraba - Tallebudgera</t>
  </si>
  <si>
    <t>Nerang</t>
  </si>
  <si>
    <t>Ormeau - Oxenford</t>
  </si>
  <si>
    <t>Robina</t>
  </si>
  <si>
    <t>Southport</t>
  </si>
  <si>
    <t>Surfers Paradise</t>
  </si>
  <si>
    <t>Forest Lake - Oxley</t>
  </si>
  <si>
    <t>Ipswich Hinterland</t>
  </si>
  <si>
    <t>Ipswich Inner</t>
  </si>
  <si>
    <t>Springfield - Redbank</t>
  </si>
  <si>
    <t>Beaudesert</t>
  </si>
  <si>
    <t>Beenleigh</t>
  </si>
  <si>
    <t>Browns Plains</t>
  </si>
  <si>
    <t>Jimboomba</t>
  </si>
  <si>
    <t>Loganlea - Carbrook</t>
  </si>
  <si>
    <t>Springwood - Kingston</t>
  </si>
  <si>
    <t>Bowen Basin - North</t>
  </si>
  <si>
    <t>Mackay</t>
  </si>
  <si>
    <t>Whitsunday</t>
  </si>
  <si>
    <t>Bribie - Beachmere</t>
  </si>
  <si>
    <t>Caboolture</t>
  </si>
  <si>
    <t>Caboolture Hinterland</t>
  </si>
  <si>
    <t>Narangba - Burpengary</t>
  </si>
  <si>
    <t>Redcliffe</t>
  </si>
  <si>
    <t>The Hills District</t>
  </si>
  <si>
    <t>North Lakes</t>
  </si>
  <si>
    <t>Strathpine</t>
  </si>
  <si>
    <t>Far North</t>
  </si>
  <si>
    <t>Outback - North</t>
  </si>
  <si>
    <t>Outback - South</t>
  </si>
  <si>
    <t>Buderim</t>
  </si>
  <si>
    <t>Caloundra</t>
  </si>
  <si>
    <t>Maroochy</t>
  </si>
  <si>
    <t>Noosa</t>
  </si>
  <si>
    <t>Sunshine Coast Hinterland</t>
  </si>
  <si>
    <t>Nambour</t>
  </si>
  <si>
    <t>Noosa Hinterland</t>
  </si>
  <si>
    <t>Toowoomba</t>
  </si>
  <si>
    <t>Charters Towers - Ayr - Ingham</t>
  </si>
  <si>
    <t>Townsville</t>
  </si>
  <si>
    <t>Bundaberg</t>
  </si>
  <si>
    <t>Burnett</t>
  </si>
  <si>
    <t>Gympie - Cooloola</t>
  </si>
  <si>
    <t>Hervey Bay</t>
  </si>
  <si>
    <t>Maryborough</t>
  </si>
  <si>
    <t>Adelaide City</t>
  </si>
  <si>
    <t>Adelaide Hills</t>
  </si>
  <si>
    <t>Burnside</t>
  </si>
  <si>
    <t>Campbelltown (SA)</t>
  </si>
  <si>
    <t>Norwood - Payneham - St Peters</t>
  </si>
  <si>
    <t>Prospect - Walkerville</t>
  </si>
  <si>
    <t>Unley</t>
  </si>
  <si>
    <t>Gawler - Two Wells</t>
  </si>
  <si>
    <t>Playford</t>
  </si>
  <si>
    <t>Port Adelaide - East</t>
  </si>
  <si>
    <t>Salisbury</t>
  </si>
  <si>
    <t>Tea Tree Gully</t>
  </si>
  <si>
    <t>Holdfast Bay</t>
  </si>
  <si>
    <t>Marion</t>
  </si>
  <si>
    <t>Mitcham</t>
  </si>
  <si>
    <t>Onkaparinga</t>
  </si>
  <si>
    <t>Charles Sturt</t>
  </si>
  <si>
    <t>Port Adelaide - West</t>
  </si>
  <si>
    <t>West Torrens</t>
  </si>
  <si>
    <t>Barossa</t>
  </si>
  <si>
    <t>Lower North</t>
  </si>
  <si>
    <t>Mid North</t>
  </si>
  <si>
    <t>Yorke Peninsula</t>
  </si>
  <si>
    <t>Eyre Peninsula and South West</t>
  </si>
  <si>
    <t>Outback - North and East</t>
  </si>
  <si>
    <t>Fleurieu - Kangaroo Island</t>
  </si>
  <si>
    <t>Limestone Coast</t>
  </si>
  <si>
    <t>Murray and Mallee</t>
  </si>
  <si>
    <t>Augusta - Margaret River - Busselton</t>
  </si>
  <si>
    <t>Bunbury</t>
  </si>
  <si>
    <t>Manjimup</t>
  </si>
  <si>
    <t>Mandurah</t>
  </si>
  <si>
    <t>Cottesloe - Claremont</t>
  </si>
  <si>
    <t>Perth City</t>
  </si>
  <si>
    <t>Bayswater - Bassendean</t>
  </si>
  <si>
    <t>Mundaring</t>
  </si>
  <si>
    <t>Swan</t>
  </si>
  <si>
    <t>Joondalup</t>
  </si>
  <si>
    <t>Stirling</t>
  </si>
  <si>
    <t>Wanneroo</t>
  </si>
  <si>
    <t>Armadale</t>
  </si>
  <si>
    <t>Belmont - Victoria Park</t>
  </si>
  <si>
    <t>Canning</t>
  </si>
  <si>
    <t>Gosnells</t>
  </si>
  <si>
    <t>Kalamunda</t>
  </si>
  <si>
    <t>Serpentine - Jarrahdale</t>
  </si>
  <si>
    <t>South Perth</t>
  </si>
  <si>
    <t>Cockburn</t>
  </si>
  <si>
    <t>Fremantle</t>
  </si>
  <si>
    <t>Kwinana</t>
  </si>
  <si>
    <t>Melville</t>
  </si>
  <si>
    <t>Rockingham</t>
  </si>
  <si>
    <t>Albany</t>
  </si>
  <si>
    <t>Wheat Belt - North</t>
  </si>
  <si>
    <t>Wheat Belt - South</t>
  </si>
  <si>
    <t>Kimberley</t>
  </si>
  <si>
    <t>East Pilbara</t>
  </si>
  <si>
    <t>West Pilbara</t>
  </si>
  <si>
    <t>Esperance</t>
  </si>
  <si>
    <t>Gascoyne</t>
  </si>
  <si>
    <t>Goldfields</t>
  </si>
  <si>
    <t>Mid West</t>
  </si>
  <si>
    <t>Brighton</t>
  </si>
  <si>
    <t>Hobart - North East</t>
  </si>
  <si>
    <t>Hobart - North West</t>
  </si>
  <si>
    <t>Hobart - South and West</t>
  </si>
  <si>
    <t>Hobart Inner</t>
  </si>
  <si>
    <t>Sorell - Dodges Ferry</t>
  </si>
  <si>
    <t>Launceston</t>
  </si>
  <si>
    <t>Meander Valley - West Tamar</t>
  </si>
  <si>
    <t>North East</t>
  </si>
  <si>
    <t>Central Highlands (Tas.)</t>
  </si>
  <si>
    <t>Huon - Bruny Island</t>
  </si>
  <si>
    <t>South East Coast</t>
  </si>
  <si>
    <t>Burnie - Ulverstone</t>
  </si>
  <si>
    <t>Devonport</t>
  </si>
  <si>
    <t>West Coast</t>
  </si>
  <si>
    <t>Darwin City</t>
  </si>
  <si>
    <t>Darwin Suburbs</t>
  </si>
  <si>
    <t>Litchfield</t>
  </si>
  <si>
    <t>Palmerston</t>
  </si>
  <si>
    <t>Alice Springs</t>
  </si>
  <si>
    <t>Barkly</t>
  </si>
  <si>
    <t>Daly - Tiwi - West Arnhem</t>
  </si>
  <si>
    <t>East Arnhem</t>
  </si>
  <si>
    <t>Katherine</t>
  </si>
  <si>
    <t>Belconnen</t>
  </si>
  <si>
    <t>Canberra East</t>
  </si>
  <si>
    <t>Gungahlin</t>
  </si>
  <si>
    <t>North Canberra</t>
  </si>
  <si>
    <t>South Canberra</t>
  </si>
  <si>
    <t>Tuggeranong</t>
  </si>
  <si>
    <t>Weston Creek</t>
  </si>
  <si>
    <t>Woden Valley</t>
  </si>
  <si>
    <t>Molonglo</t>
  </si>
  <si>
    <t>Christmas Island</t>
  </si>
  <si>
    <t>Jervis Bay</t>
  </si>
  <si>
    <t>Number of Children</t>
  </si>
  <si>
    <t>Number of Families</t>
  </si>
  <si>
    <t>Table 7.1: Number of Children and Families accessing Additional Child Care Subsidy, December quarter 2018</t>
  </si>
  <si>
    <t>* As children may use more than one ACCS type in any particular quarter and due to rounding, the sum of the component parts may not equal the Total.</t>
  </si>
  <si>
    <t>Inner Regional</t>
  </si>
  <si>
    <t>Major Cities</t>
  </si>
  <si>
    <t>Outer Regional</t>
  </si>
  <si>
    <t>Remote &amp; Very Remote</t>
  </si>
  <si>
    <t>*As children may use services in more than one region, and due to rounding, the sum of the component parts may not equal the total.</t>
  </si>
  <si>
    <t xml:space="preserve">Note: Region is based on the ABS Accessibility/Remoteness Index of Australia (ARIA), July 2011. 
</t>
  </si>
  <si>
    <r>
      <t>Sep. 2018</t>
    </r>
    <r>
      <rPr>
        <b/>
        <vertAlign val="superscript"/>
        <sz val="11"/>
        <color rgb="FF112277"/>
        <rFont val="Calibri"/>
        <family val="2"/>
        <scheme val="minor"/>
      </rPr>
      <t>#</t>
    </r>
  </si>
  <si>
    <r>
      <t>Dec. 2018</t>
    </r>
    <r>
      <rPr>
        <b/>
        <vertAlign val="superscript"/>
        <sz val="11"/>
        <color rgb="FF112277"/>
        <rFont val="Calibri"/>
        <family val="2"/>
        <scheme val="minor"/>
      </rPr>
      <t>#</t>
    </r>
  </si>
  <si>
    <r>
      <t>Table 4.1:  Average hourly fee</t>
    </r>
    <r>
      <rPr>
        <b/>
        <sz val="12"/>
        <color rgb="FF112277"/>
        <rFont val="Calibri"/>
        <family val="2"/>
        <scheme val="minor"/>
      </rPr>
      <t>, December quarter 2017 to December quarter 2018</t>
    </r>
  </si>
  <si>
    <t>Table 3.2: Number of services under/over the fee cap, December quarter 2018</t>
  </si>
  <si>
    <t>Fee cap</t>
  </si>
  <si>
    <t>Under or at the Fee cap</t>
  </si>
  <si>
    <t>Total</t>
  </si>
  <si>
    <t>Over the 
fee cap</t>
  </si>
  <si>
    <t>Note: The average hourly fee is calculated for each service to determine whether they are under or over the cap. This average hourly fee may differ from the actual fee charged by a service.</t>
  </si>
  <si>
    <r>
      <t xml:space="preserve">Note: State and Territory figures </t>
    </r>
    <r>
      <rPr>
        <i/>
        <sz val="9"/>
        <color theme="1"/>
        <rFont val="Calibri"/>
        <family val="2"/>
        <scheme val="minor"/>
      </rPr>
      <t>exclude In Home Care</t>
    </r>
    <r>
      <rPr>
        <sz val="9"/>
        <color theme="1"/>
        <rFont val="Calibri"/>
        <family val="2"/>
        <scheme val="minor"/>
      </rPr>
      <t xml:space="preserve"> children due to privacy considerations. Australia total includes In Home Care.</t>
    </r>
  </si>
  <si>
    <r>
      <t>Total</t>
    </r>
    <r>
      <rPr>
        <b/>
        <vertAlign val="superscript"/>
        <sz val="11"/>
        <color rgb="FF000000"/>
        <rFont val="Calibri"/>
        <family val="2"/>
        <scheme val="minor"/>
      </rPr>
      <t>#</t>
    </r>
    <r>
      <rPr>
        <b/>
        <sz val="11"/>
        <color rgb="FF000000"/>
        <rFont val="Calibri"/>
        <family val="2"/>
        <scheme val="minor"/>
      </rPr>
      <t>*</t>
    </r>
  </si>
  <si>
    <r>
      <t xml:space="preserve"> Total</t>
    </r>
    <r>
      <rPr>
        <b/>
        <vertAlign val="superscript"/>
        <sz val="11"/>
        <rFont val="Calibri"/>
        <family val="2"/>
        <scheme val="minor"/>
      </rPr>
      <t>#</t>
    </r>
  </si>
  <si>
    <t>SA4 Code</t>
  </si>
  <si>
    <t>SA4 name</t>
  </si>
  <si>
    <t>State</t>
  </si>
  <si>
    <t>SA3 code</t>
  </si>
  <si>
    <t>SA3 name</t>
  </si>
  <si>
    <t>Dec 2018 service count</t>
  </si>
  <si>
    <t>Dec 2018 Averge fee per hr</t>
  </si>
  <si>
    <t>Growth in average fee (Dec 2017 to Dec 2018)</t>
  </si>
  <si>
    <t>Dec 2018 number services above cap</t>
  </si>
  <si>
    <t>Proportion above the cap</t>
  </si>
  <si>
    <t>Capital Region</t>
  </si>
  <si>
    <t>New South Wales</t>
  </si>
  <si>
    <t>Central Coast</t>
  </si>
  <si>
    <t>Central West</t>
  </si>
  <si>
    <t>Coffs Harbour - Grafton</t>
  </si>
  <si>
    <t>Far West and Orana</t>
  </si>
  <si>
    <t xml:space="preserve">     &lt;5</t>
  </si>
  <si>
    <t>Hunter Valley exc Newcastle</t>
  </si>
  <si>
    <t>Illawarra</t>
  </si>
  <si>
    <t>Mid North Coast</t>
  </si>
  <si>
    <t>Murray</t>
  </si>
  <si>
    <t>New England and North West</t>
  </si>
  <si>
    <t>Newcastle and Lake Macquarie</t>
  </si>
  <si>
    <t>Richmond - Tweed</t>
  </si>
  <si>
    <t>Riverina</t>
  </si>
  <si>
    <t>Southern Highlands and Shoalhaven</t>
  </si>
  <si>
    <t>Sydney - Baulkham Hills and Hawkesbury</t>
  </si>
  <si>
    <t>Sydney - Blacktown</t>
  </si>
  <si>
    <t>Sydney - City and Inner South</t>
  </si>
  <si>
    <t>Sydney - Eastern Suburbs</t>
  </si>
  <si>
    <t>Sydney - Inner South West</t>
  </si>
  <si>
    <t>Sydney - Inner West</t>
  </si>
  <si>
    <t>Sydney - North Sydney and Hornsby</t>
  </si>
  <si>
    <t>Sydney - Northern Beaches</t>
  </si>
  <si>
    <t>Sydney - Outer South West</t>
  </si>
  <si>
    <t>Sydney - Outer West and Blue Mountains</t>
  </si>
  <si>
    <t>Sydney - Parramatta</t>
  </si>
  <si>
    <t>Sydney - Ryde</t>
  </si>
  <si>
    <t>Sydney - South West</t>
  </si>
  <si>
    <t>Sydney - Sutherland</t>
  </si>
  <si>
    <t>Victoria</t>
  </si>
  <si>
    <t>Hume</t>
  </si>
  <si>
    <t>Latrobe - Gippsland</t>
  </si>
  <si>
    <t>Melbourne - Inner</t>
  </si>
  <si>
    <t>Melbourne - Inner East</t>
  </si>
  <si>
    <t>Melbourne - Inner South</t>
  </si>
  <si>
    <t>Melbourne - North East</t>
  </si>
  <si>
    <t>Melbourne - North West</t>
  </si>
  <si>
    <t>Melbourne - Outer East</t>
  </si>
  <si>
    <t>Melbourne - South East</t>
  </si>
  <si>
    <t>Melbourne - West</t>
  </si>
  <si>
    <t>North West</t>
  </si>
  <si>
    <t>Warrnambool and South West</t>
  </si>
  <si>
    <t>Brisbane - East</t>
  </si>
  <si>
    <t>Queensland</t>
  </si>
  <si>
    <t>Brisbane - North</t>
  </si>
  <si>
    <t>Brisbane - South</t>
  </si>
  <si>
    <t>Brisbane - West</t>
  </si>
  <si>
    <t>Brisbane Inner City</t>
  </si>
  <si>
    <t>Cairns</t>
  </si>
  <si>
    <t>Darling Downs - Maranoa</t>
  </si>
  <si>
    <t>Central Queensland</t>
  </si>
  <si>
    <t>Gold Coast</t>
  </si>
  <si>
    <t>Ipswich</t>
  </si>
  <si>
    <t>Logan - Beaudesert</t>
  </si>
  <si>
    <t>Mackay - Isaac - Whitsunday</t>
  </si>
  <si>
    <t>Moreton Bay - North</t>
  </si>
  <si>
    <t>Moreton Bay - South</t>
  </si>
  <si>
    <t>Queensland - Outback</t>
  </si>
  <si>
    <t>Sunshine Coast</t>
  </si>
  <si>
    <t>Wide Bay</t>
  </si>
  <si>
    <t>Adelaide - Central and Hills</t>
  </si>
  <si>
    <t>South Australia</t>
  </si>
  <si>
    <t>Adelaide - North</t>
  </si>
  <si>
    <t>Adelaide - South</t>
  </si>
  <si>
    <t>Adelaide - West</t>
  </si>
  <si>
    <t>Barossa - Yorke - Mid North</t>
  </si>
  <si>
    <t>South Australia - Outback</t>
  </si>
  <si>
    <t>South Australia - South East</t>
  </si>
  <si>
    <t>Western Australia</t>
  </si>
  <si>
    <t>Perth - Inner</t>
  </si>
  <si>
    <t>Perth - North East</t>
  </si>
  <si>
    <t>Perth - North West</t>
  </si>
  <si>
    <t>Perth - South East</t>
  </si>
  <si>
    <t>Perth - South West</t>
  </si>
  <si>
    <t>Western Australia - Wheat Belt</t>
  </si>
  <si>
    <t>Western Australia - Outback (North)</t>
  </si>
  <si>
    <t>Western Australia - Outback (South)</t>
  </si>
  <si>
    <t>Hobart</t>
  </si>
  <si>
    <t>Tasmania</t>
  </si>
  <si>
    <t>Launceston and North East</t>
  </si>
  <si>
    <t>South East</t>
  </si>
  <si>
    <t>West and North West</t>
  </si>
  <si>
    <t>Darwin</t>
  </si>
  <si>
    <t>Northern Territory</t>
  </si>
  <si>
    <t>Northern Territory - Outback</t>
  </si>
  <si>
    <t>Australian Capital Territory</t>
  </si>
  <si>
    <t>Other Territories</t>
  </si>
  <si>
    <t>Note: due to legislative restrictions, data for SA3s with less than 5 services has been suppressed.</t>
  </si>
  <si>
    <t>Note: Due to legislative restrictions, data for SA3s with less than 5 services has been suppressed.</t>
  </si>
  <si>
    <t>Note: OSHC services include those services formerly known as Before School Care, After School Care, and Vacation Care, and the average fees reflect their different charging practices.</t>
  </si>
  <si>
    <t xml:space="preserve">Centre Based Day Care Average Fee Per Hour </t>
  </si>
  <si>
    <t xml:space="preserve">Outside School Hours Care Averge Fee Per Hour Analysis </t>
  </si>
  <si>
    <t>Table 8.1: Centre Based Day Care Average fee per hour by SA3, December quarter 2017 &amp; December quarter 2018</t>
  </si>
  <si>
    <t>Table 9.1: Outside School Hours Care averge fee per hour analysis by SA3, December quarter 2017 &amp; December quarter 2018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</si>
</sst>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0;[Red]\-&quot;$&quot;#,##0"/>
    <numFmt numFmtId="8" formatCode="&quot;$&quot;#,##0.00;[Red]\-&quot;$&quot;#,##0.00"/>
    <numFmt numFmtId="43" formatCode="_-* #,##0.00_-;\-* #,##0.00_-;_-* &quot;-&quot;??_-;_-@_-"/>
    <numFmt numFmtId="164" formatCode="_-* #,##0_-;\-* #,##0_-;_-* &quot;-&quot;??_-;_-@_-"/>
    <numFmt numFmtId="165" formatCode="&quot;$&quot;###,##0.00"/>
    <numFmt numFmtId="166" formatCode="###,###,###,##0"/>
    <numFmt numFmtId="167" formatCode="0.0"/>
    <numFmt numFmtId="168" formatCode="&quot;$&quot;#,##0.00"/>
    <numFmt numFmtId="169" formatCode="0.0%"/>
  </numFmts>
  <fonts count="20" x14ac:knownFonts="1">
    <font>
      <sz val="11"/>
      <color theme="1"/>
      <name val="Calibri"/>
      <family val="2"/>
      <scheme val="minor"/>
    </font>
    <font>
      <sz val="11"/>
      <color theme="1"/>
      <name val="Calibri"/>
      <family val="2"/>
      <scheme val="minor"/>
    </font>
    <font>
      <u/>
      <sz val="11"/>
      <color theme="10"/>
      <name val="Calibri"/>
      <family val="2"/>
      <scheme val="minor"/>
    </font>
    <font>
      <sz val="9"/>
      <name val="Calibri"/>
      <family val="2"/>
      <scheme val="minor"/>
    </font>
    <font>
      <b/>
      <u/>
      <sz val="14"/>
      <color theme="1"/>
      <name val="Calibri"/>
      <family val="2"/>
      <scheme val="minor"/>
    </font>
    <font>
      <b/>
      <sz val="11"/>
      <color theme="1"/>
      <name val="Calibri"/>
      <family val="2"/>
      <scheme val="minor"/>
    </font>
    <font>
      <sz val="9.5"/>
      <name val="Calibri"/>
      <family val="2"/>
      <scheme val="minor"/>
    </font>
    <font>
      <b/>
      <sz val="11"/>
      <name val="Calibri"/>
      <family val="2"/>
      <scheme val="minor"/>
    </font>
    <font>
      <sz val="11"/>
      <name val="Calibri"/>
      <family val="2"/>
      <scheme val="minor"/>
    </font>
    <font>
      <sz val="9"/>
      <color theme="1"/>
      <name val="Calibri"/>
      <family val="2"/>
      <scheme val="minor"/>
    </font>
    <font>
      <b/>
      <sz val="11"/>
      <color rgb="FF112277"/>
      <name val="Calibri"/>
      <family val="2"/>
      <scheme val="minor"/>
    </font>
    <font>
      <b/>
      <sz val="9.5"/>
      <color rgb="FF000000"/>
      <name val="Calibri"/>
      <family val="2"/>
      <scheme val="minor"/>
    </font>
    <font>
      <b/>
      <sz val="12"/>
      <color rgb="FF112277"/>
      <name val="Calibri"/>
      <family val="2"/>
      <scheme val="minor"/>
    </font>
    <font>
      <b/>
      <vertAlign val="superscript"/>
      <sz val="11"/>
      <color rgb="FF112277"/>
      <name val="Calibri"/>
      <family val="2"/>
      <scheme val="minor"/>
    </font>
    <font>
      <b/>
      <vertAlign val="superscript"/>
      <sz val="11"/>
      <color theme="1"/>
      <name val="Calibri"/>
      <family val="2"/>
      <scheme val="minor"/>
    </font>
    <font>
      <b/>
      <sz val="11"/>
      <color rgb="FF000000"/>
      <name val="Calibri"/>
      <family val="2"/>
      <scheme val="minor"/>
    </font>
    <font>
      <i/>
      <sz val="9"/>
      <color theme="1"/>
      <name val="Calibri"/>
      <family val="2"/>
      <scheme val="minor"/>
    </font>
    <font>
      <b/>
      <vertAlign val="superscript"/>
      <sz val="11"/>
      <color rgb="FF000000"/>
      <name val="Calibri"/>
      <family val="2"/>
      <scheme val="minor"/>
    </font>
    <font>
      <b/>
      <vertAlign val="superscript"/>
      <sz val="11"/>
      <name val="Calibri"/>
      <family val="2"/>
      <scheme val="minor"/>
    </font>
    <font>
      <sz val="9.5"/>
      <color theme="1"/>
      <name val="Calibri"/>
      <family val="2"/>
      <scheme val="minor"/>
    </font>
  </fonts>
  <fills count="4">
    <fill>
      <patternFill patternType="none"/>
    </fill>
    <fill>
      <patternFill patternType="gray125"/>
    </fill>
    <fill>
      <patternFill patternType="solid">
        <fgColor rgb="FFEDF2F9"/>
        <bgColor indexed="64"/>
      </patternFill>
    </fill>
    <fill>
      <patternFill patternType="solid">
        <fgColor rgb="FFFFFFFF"/>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bottom style="thin">
        <color rgb="FFB0B7BB"/>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0" fontId="2" fillId="0" borderId="0" applyNumberFormat="0" applyFill="0" applyBorder="0" applyAlignment="0" applyProtection="0"/>
    <xf numFmtId="9" fontId="1" fillId="0" borderId="0" applyFont="0" applyFill="0" applyBorder="0" applyAlignment="0" applyProtection="0"/>
  </cellStyleXfs>
  <cellXfs count="70">
    <xf numFmtId="0" fontId="0" fillId="0" borderId="0" xfId="0"/>
    <xf numFmtId="0" fontId="0" fillId="0" borderId="0" xfId="0" applyAlignment="1">
      <alignment horizontal="left"/>
    </xf>
    <xf numFmtId="0" fontId="0" fillId="3" borderId="1" xfId="0" applyFill="1" applyBorder="1" applyAlignment="1">
      <alignment horizontal="left"/>
    </xf>
    <xf numFmtId="166" fontId="0" fillId="3" borderId="1" xfId="0" applyNumberFormat="1" applyFill="1" applyBorder="1" applyAlignment="1">
      <alignment horizontal="right"/>
    </xf>
    <xf numFmtId="164" fontId="0" fillId="3" borderId="1" xfId="1" applyNumberFormat="1" applyFont="1" applyFill="1" applyBorder="1" applyAlignment="1">
      <alignment horizontal="left"/>
    </xf>
    <xf numFmtId="165" fontId="0" fillId="3" borderId="1" xfId="0" applyNumberFormat="1" applyFill="1" applyBorder="1" applyAlignment="1">
      <alignment horizontal="right"/>
    </xf>
    <xf numFmtId="0" fontId="3" fillId="0" borderId="0" xfId="0" applyFont="1"/>
    <xf numFmtId="0" fontId="4" fillId="0" borderId="0" xfId="0" applyFont="1"/>
    <xf numFmtId="0" fontId="5" fillId="3" borderId="1" xfId="0" applyFont="1" applyFill="1" applyBorder="1" applyAlignment="1">
      <alignment horizontal="left"/>
    </xf>
    <xf numFmtId="3" fontId="5" fillId="0" borderId="1" xfId="0" applyNumberFormat="1" applyFont="1" applyBorder="1"/>
    <xf numFmtId="0" fontId="8" fillId="0" borderId="1" xfId="0" applyFont="1" applyBorder="1" applyAlignment="1">
      <alignment horizontal="left" vertical="top"/>
    </xf>
    <xf numFmtId="0" fontId="7" fillId="0" borderId="1" xfId="0" applyFont="1" applyBorder="1" applyAlignment="1">
      <alignment horizontal="left" vertical="top"/>
    </xf>
    <xf numFmtId="49" fontId="5" fillId="0" borderId="1" xfId="0" applyNumberFormat="1" applyFont="1" applyBorder="1"/>
    <xf numFmtId="0" fontId="9" fillId="0" borderId="0" xfId="0" applyFont="1"/>
    <xf numFmtId="0" fontId="6" fillId="0" borderId="0" xfId="0" applyFont="1"/>
    <xf numFmtId="0" fontId="10" fillId="0" borderId="0" xfId="0" applyFont="1"/>
    <xf numFmtId="0" fontId="2" fillId="0" borderId="0" xfId="2" applyFill="1" applyBorder="1" applyAlignment="1"/>
    <xf numFmtId="0" fontId="2" fillId="0" borderId="0" xfId="2"/>
    <xf numFmtId="0" fontId="2" fillId="0" borderId="0" xfId="2" applyFill="1" applyBorder="1" applyAlignment="1">
      <alignment horizontal="left"/>
    </xf>
    <xf numFmtId="0" fontId="2" fillId="0" borderId="2" xfId="2" applyFill="1" applyBorder="1" applyAlignment="1"/>
    <xf numFmtId="0" fontId="3" fillId="0" borderId="0" xfId="0" applyFont="1" applyAlignment="1">
      <alignment horizontal="left"/>
    </xf>
    <xf numFmtId="0" fontId="10" fillId="0" borderId="2" xfId="0" applyFont="1" applyBorder="1"/>
    <xf numFmtId="0" fontId="0" fillId="0" borderId="1" xfId="0" applyBorder="1"/>
    <xf numFmtId="3" fontId="0" fillId="0" borderId="1" xfId="0" applyNumberFormat="1" applyBorder="1"/>
    <xf numFmtId="0" fontId="12" fillId="0" borderId="0" xfId="0" applyFont="1"/>
    <xf numFmtId="0" fontId="12" fillId="0" borderId="0" xfId="0" applyFont="1" applyAlignment="1">
      <alignment horizontal="left"/>
    </xf>
    <xf numFmtId="0" fontId="12" fillId="0" borderId="2" xfId="0" applyFont="1" applyBorder="1"/>
    <xf numFmtId="0" fontId="10" fillId="2" borderId="1" xfId="0" applyFont="1" applyFill="1" applyBorder="1" applyAlignment="1">
      <alignment horizontal="center" vertical="center" wrapText="1"/>
    </xf>
    <xf numFmtId="0" fontId="10" fillId="2" borderId="1" xfId="0" applyFont="1" applyFill="1" applyBorder="1" applyAlignment="1">
      <alignment horizontal="center"/>
    </xf>
    <xf numFmtId="0" fontId="10" fillId="2" borderId="1" xfId="0" applyFont="1" applyFill="1" applyBorder="1" applyAlignment="1">
      <alignment horizontal="center" wrapText="1"/>
    </xf>
    <xf numFmtId="0" fontId="10" fillId="2" borderId="1" xfId="0" applyFont="1" applyFill="1" applyBorder="1" applyAlignment="1">
      <alignment horizontal="left" vertical="center"/>
    </xf>
    <xf numFmtId="0" fontId="10" fillId="2" borderId="1" xfId="0" applyFont="1" applyFill="1" applyBorder="1" applyAlignment="1">
      <alignment horizontal="left"/>
    </xf>
    <xf numFmtId="3" fontId="0" fillId="0" borderId="1" xfId="0" applyNumberFormat="1" applyBorder="1" applyAlignment="1">
      <alignment horizontal="right"/>
    </xf>
    <xf numFmtId="6" fontId="0" fillId="0" borderId="1" xfId="0" applyNumberFormat="1" applyBorder="1" applyAlignment="1">
      <alignment horizontal="right"/>
    </xf>
    <xf numFmtId="0" fontId="0" fillId="0" borderId="1" xfId="0" applyBorder="1" applyAlignment="1">
      <alignment horizontal="right"/>
    </xf>
    <xf numFmtId="0" fontId="10" fillId="2" borderId="1" xfId="0" applyFont="1" applyFill="1" applyBorder="1" applyAlignment="1">
      <alignment horizontal="right"/>
    </xf>
    <xf numFmtId="3" fontId="5" fillId="0" borderId="1" xfId="0" applyNumberFormat="1" applyFont="1" applyBorder="1" applyAlignment="1">
      <alignment horizontal="right"/>
    </xf>
    <xf numFmtId="0" fontId="5" fillId="0" borderId="1" xfId="0" applyFont="1" applyBorder="1" applyAlignment="1">
      <alignment horizontal="right"/>
    </xf>
    <xf numFmtId="3" fontId="8" fillId="0" borderId="1" xfId="0" applyNumberFormat="1" applyFont="1" applyBorder="1" applyAlignment="1">
      <alignment horizontal="right"/>
    </xf>
    <xf numFmtId="3" fontId="7" fillId="0" borderId="1" xfId="0" applyNumberFormat="1" applyFont="1" applyBorder="1" applyAlignment="1">
      <alignment horizontal="right"/>
    </xf>
    <xf numFmtId="8" fontId="0" fillId="0" borderId="1" xfId="0" applyNumberFormat="1" applyBorder="1" applyAlignment="1">
      <alignment horizontal="right"/>
    </xf>
    <xf numFmtId="8" fontId="0" fillId="0" borderId="0" xfId="0" applyNumberFormat="1" applyAlignment="1">
      <alignment horizontal="right"/>
    </xf>
    <xf numFmtId="165" fontId="0" fillId="0" borderId="0" xfId="0" applyNumberFormat="1" applyAlignment="1">
      <alignment horizontal="right"/>
    </xf>
    <xf numFmtId="8" fontId="5" fillId="0" borderId="1" xfId="0" applyNumberFormat="1" applyFont="1" applyBorder="1" applyAlignment="1">
      <alignment horizontal="right"/>
    </xf>
    <xf numFmtId="0" fontId="15" fillId="3" borderId="1" xfId="0" applyFont="1" applyFill="1" applyBorder="1" applyAlignment="1">
      <alignment horizontal="left"/>
    </xf>
    <xf numFmtId="0" fontId="0" fillId="0" borderId="1" xfId="0" applyBorder="1" applyAlignment="1">
      <alignment horizontal="left"/>
    </xf>
    <xf numFmtId="167" fontId="0" fillId="0" borderId="1" xfId="0" applyNumberFormat="1" applyBorder="1" applyAlignment="1">
      <alignment horizontal="right"/>
    </xf>
    <xf numFmtId="167" fontId="5" fillId="0" borderId="1" xfId="0" applyNumberFormat="1" applyFont="1" applyBorder="1" applyAlignment="1">
      <alignment horizontal="right"/>
    </xf>
    <xf numFmtId="0" fontId="10" fillId="2" borderId="1" xfId="0" applyFont="1" applyFill="1" applyBorder="1" applyAlignment="1">
      <alignment horizontal="right" wrapText="1"/>
    </xf>
    <xf numFmtId="6" fontId="5" fillId="0" borderId="1" xfId="0" applyNumberFormat="1" applyFont="1" applyBorder="1" applyAlignment="1">
      <alignment horizontal="right"/>
    </xf>
    <xf numFmtId="166" fontId="11" fillId="0" borderId="1" xfId="0" applyNumberFormat="1" applyFont="1" applyBorder="1" applyAlignment="1">
      <alignment horizontal="right"/>
    </xf>
    <xf numFmtId="166" fontId="11" fillId="0" borderId="0" xfId="0" applyNumberFormat="1" applyFont="1" applyAlignment="1">
      <alignment horizontal="right"/>
    </xf>
    <xf numFmtId="0" fontId="0" fillId="3" borderId="3" xfId="0" applyFill="1" applyBorder="1" applyAlignment="1">
      <alignment horizontal="left"/>
    </xf>
    <xf numFmtId="0" fontId="5" fillId="3" borderId="3" xfId="0" applyFont="1" applyFill="1" applyBorder="1" applyAlignment="1">
      <alignment horizontal="left"/>
    </xf>
    <xf numFmtId="0" fontId="10" fillId="2" borderId="4" xfId="0" applyFont="1" applyFill="1" applyBorder="1" applyAlignment="1">
      <alignment horizontal="right" wrapText="1"/>
    </xf>
    <xf numFmtId="166" fontId="11" fillId="0" borderId="5" xfId="0" applyNumberFormat="1" applyFont="1" applyBorder="1" applyAlignment="1">
      <alignment horizontal="right"/>
    </xf>
    <xf numFmtId="0" fontId="0" fillId="0" borderId="5" xfId="0" applyBorder="1"/>
    <xf numFmtId="0" fontId="10" fillId="2" borderId="1" xfId="0" applyFont="1" applyFill="1" applyBorder="1" applyAlignment="1">
      <alignment horizontal="right" vertical="center" wrapText="1"/>
    </xf>
    <xf numFmtId="8" fontId="0" fillId="0" borderId="1" xfId="0" applyNumberFormat="1" applyBorder="1"/>
    <xf numFmtId="3" fontId="5" fillId="0" borderId="0" xfId="0" applyNumberFormat="1" applyFont="1" applyAlignment="1">
      <alignment horizontal="right"/>
    </xf>
    <xf numFmtId="6" fontId="5" fillId="0" borderId="0" xfId="0" applyNumberFormat="1" applyFont="1" applyAlignment="1">
      <alignment horizontal="right"/>
    </xf>
    <xf numFmtId="8" fontId="5" fillId="0" borderId="0" xfId="0" applyNumberFormat="1" applyFont="1" applyAlignment="1">
      <alignment horizontal="right"/>
    </xf>
    <xf numFmtId="167" fontId="5" fillId="0" borderId="0" xfId="0" applyNumberFormat="1" applyFont="1" applyAlignment="1">
      <alignment horizontal="right"/>
    </xf>
    <xf numFmtId="49" fontId="0" fillId="0" borderId="1" xfId="0" applyNumberFormat="1" applyBorder="1"/>
    <xf numFmtId="168" fontId="0" fillId="0" borderId="1" xfId="0" applyNumberFormat="1" applyBorder="1" applyAlignment="1">
      <alignment horizontal="right"/>
    </xf>
    <xf numFmtId="169" fontId="0" fillId="0" borderId="1" xfId="3" applyNumberFormat="1" applyFont="1" applyFill="1" applyBorder="1" applyAlignment="1">
      <alignment horizontal="right"/>
    </xf>
    <xf numFmtId="169" fontId="0" fillId="0" borderId="1" xfId="3" applyNumberFormat="1" applyFont="1" applyBorder="1"/>
    <xf numFmtId="169" fontId="0" fillId="0" borderId="1" xfId="3" applyNumberFormat="1" applyFont="1" applyBorder="1" applyAlignment="1">
      <alignment horizontal="right"/>
    </xf>
    <xf numFmtId="0" fontId="19" fillId="0" borderId="0" xfId="0" applyFont="1"/>
    <xf numFmtId="0" fontId="5" fillId="3" borderId="1" xfId="0" applyFont="1" applyFill="1" applyBorder="1" applyAlignment="1">
      <alignment horizontal="left" wrapText="1"/>
    </xf>
  </cellXfs>
  <cellStyles count="4">
    <cellStyle name="Comma" xfId="1" builtinId="3"/>
    <cellStyle name="Hyperlink" xfId="2" builtinId="8"/>
    <cellStyle name="Normal" xfId="0" builtinId="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9</v>
    <v>8</v>
    <v>333</v>
    <v>1</v>
  </rv>
</rvData>
</file>

<file path=xl/richData/rdrichvaluestructure.xml><?xml version="1.0" encoding="utf-8"?>
<rvStructures xmlns="http://schemas.microsoft.com/office/spreadsheetml/2017/richdata" count="1">
  <s t="_error">
    <k n="colOffset" t="i"/>
    <k n="errorType" t="i"/>
    <k n="rwOffset"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O46"/>
  <sheetViews>
    <sheetView zoomScale="90" zoomScaleNormal="90" workbookViewId="0">
      <selection activeCell="P2" sqref="P2"/>
    </sheetView>
  </sheetViews>
  <sheetFormatPr defaultColWidth="9.1796875" defaultRowHeight="14.5" x14ac:dyDescent="0.35"/>
  <sheetData>
    <row r="2" spans="2:15" ht="18.5" x14ac:dyDescent="0.45">
      <c r="B2" s="7" t="s">
        <v>26</v>
      </c>
    </row>
    <row r="4" spans="2:15" x14ac:dyDescent="0.35">
      <c r="B4" s="16" t="s">
        <v>57</v>
      </c>
      <c r="C4" s="17"/>
      <c r="D4" s="17"/>
      <c r="E4" s="17"/>
      <c r="F4" s="17"/>
      <c r="G4" s="17"/>
      <c r="H4" s="17"/>
      <c r="I4" s="17"/>
      <c r="J4" s="17"/>
      <c r="K4" s="17"/>
      <c r="L4" s="17"/>
      <c r="M4" s="17"/>
      <c r="N4" s="17"/>
      <c r="O4" s="17"/>
    </row>
    <row r="6" spans="2:15" x14ac:dyDescent="0.35">
      <c r="B6" s="16" t="s">
        <v>62</v>
      </c>
      <c r="C6" s="17"/>
      <c r="D6" s="17"/>
      <c r="E6" s="17"/>
      <c r="F6" s="17"/>
      <c r="G6" s="17"/>
      <c r="H6" s="17"/>
      <c r="I6" s="17"/>
      <c r="J6" s="17"/>
      <c r="K6" s="17"/>
    </row>
    <row r="8" spans="2:15" ht="15" customHeight="1" x14ac:dyDescent="0.35">
      <c r="B8" s="17" t="s">
        <v>63</v>
      </c>
      <c r="C8" s="17"/>
      <c r="D8" s="17"/>
      <c r="E8" s="17"/>
      <c r="F8" s="17"/>
      <c r="G8" s="17"/>
      <c r="H8" s="17"/>
      <c r="I8" s="17"/>
    </row>
    <row r="10" spans="2:15" x14ac:dyDescent="0.35">
      <c r="B10" s="16" t="s">
        <v>64</v>
      </c>
      <c r="C10" s="17"/>
      <c r="D10" s="17"/>
      <c r="E10" s="17"/>
      <c r="F10" s="17"/>
      <c r="G10" s="17"/>
      <c r="H10" s="17"/>
      <c r="I10" s="17"/>
    </row>
    <row r="12" spans="2:15" x14ac:dyDescent="0.35">
      <c r="B12" s="16" t="s">
        <v>65</v>
      </c>
      <c r="C12" s="17"/>
      <c r="D12" s="17"/>
      <c r="E12" s="17"/>
      <c r="F12" s="17"/>
      <c r="G12" s="17"/>
      <c r="H12" s="17"/>
      <c r="I12" s="17"/>
      <c r="J12" s="17"/>
      <c r="K12" s="17"/>
      <c r="L12" s="17"/>
    </row>
    <row r="14" spans="2:15" x14ac:dyDescent="0.35">
      <c r="B14" s="16" t="s">
        <v>66</v>
      </c>
      <c r="C14" s="17"/>
      <c r="D14" s="17"/>
      <c r="E14" s="17"/>
      <c r="F14" s="17"/>
      <c r="G14" s="17"/>
      <c r="H14" s="17"/>
      <c r="I14" s="17"/>
      <c r="J14" s="17"/>
    </row>
    <row r="16" spans="2:15" x14ac:dyDescent="0.35">
      <c r="B16" s="16" t="s">
        <v>67</v>
      </c>
      <c r="C16" s="17"/>
      <c r="D16" s="17"/>
      <c r="E16" s="17"/>
      <c r="F16" s="17"/>
      <c r="G16" s="17"/>
      <c r="H16" s="17"/>
      <c r="I16" s="17"/>
      <c r="J16" s="17"/>
      <c r="K16" s="17"/>
    </row>
    <row r="18" spans="2:12" x14ac:dyDescent="0.35">
      <c r="B18" s="16" t="s">
        <v>68</v>
      </c>
      <c r="C18" s="17"/>
      <c r="D18" s="17"/>
      <c r="E18" s="17"/>
      <c r="F18" s="17"/>
      <c r="G18" s="17"/>
      <c r="H18" s="17"/>
      <c r="I18" s="17"/>
      <c r="J18" s="17"/>
      <c r="K18" s="17"/>
    </row>
    <row r="20" spans="2:12" x14ac:dyDescent="0.35">
      <c r="B20" s="16" t="s">
        <v>69</v>
      </c>
      <c r="C20" s="17"/>
      <c r="D20" s="17"/>
      <c r="E20" s="17"/>
      <c r="F20" s="17"/>
      <c r="G20" s="17"/>
      <c r="H20" s="17"/>
      <c r="I20" s="17"/>
      <c r="J20" s="17"/>
    </row>
    <row r="22" spans="2:12" x14ac:dyDescent="0.35">
      <c r="B22" s="16" t="s">
        <v>70</v>
      </c>
      <c r="C22" s="17"/>
      <c r="D22" s="17"/>
      <c r="E22" s="17"/>
      <c r="F22" s="17"/>
      <c r="G22" s="17"/>
      <c r="H22" s="17"/>
      <c r="I22" s="17"/>
    </row>
    <row r="24" spans="2:12" x14ac:dyDescent="0.35">
      <c r="B24" s="16" t="s">
        <v>71</v>
      </c>
      <c r="C24" s="17"/>
      <c r="D24" s="17"/>
      <c r="E24" s="17"/>
      <c r="F24" s="17"/>
      <c r="G24" s="17"/>
      <c r="H24" s="17"/>
      <c r="I24" s="17"/>
      <c r="J24" s="17"/>
      <c r="K24" s="17"/>
      <c r="L24" s="17"/>
    </row>
    <row r="26" spans="2:12" x14ac:dyDescent="0.35">
      <c r="B26" s="18" t="s">
        <v>72</v>
      </c>
      <c r="C26" s="17"/>
      <c r="D26" s="17"/>
      <c r="E26" s="17"/>
      <c r="F26" s="17"/>
      <c r="G26" s="17"/>
      <c r="H26" s="17"/>
      <c r="I26" s="17"/>
      <c r="J26" s="17"/>
    </row>
    <row r="28" spans="2:12" x14ac:dyDescent="0.35">
      <c r="B28" s="16" t="s">
        <v>73</v>
      </c>
      <c r="C28" s="17"/>
      <c r="D28" s="17"/>
      <c r="E28" s="17"/>
      <c r="F28" s="17"/>
      <c r="G28" s="17"/>
      <c r="H28" s="17"/>
      <c r="I28" s="17"/>
      <c r="J28" s="17"/>
    </row>
    <row r="30" spans="2:12" x14ac:dyDescent="0.35">
      <c r="B30" s="16" t="s">
        <v>74</v>
      </c>
      <c r="C30" s="17"/>
      <c r="D30" s="17"/>
      <c r="E30" s="17"/>
      <c r="F30" s="17"/>
      <c r="G30" s="17"/>
      <c r="H30" s="17"/>
    </row>
    <row r="31" spans="2:12" x14ac:dyDescent="0.35">
      <c r="B31" s="16"/>
      <c r="C31" s="17"/>
      <c r="D31" s="17"/>
      <c r="E31" s="17"/>
      <c r="F31" s="17"/>
      <c r="G31" s="17"/>
      <c r="H31" s="17"/>
    </row>
    <row r="32" spans="2:12" x14ac:dyDescent="0.35">
      <c r="B32" s="16" t="s">
        <v>439</v>
      </c>
      <c r="C32" s="17"/>
      <c r="D32" s="17"/>
      <c r="E32" s="17"/>
      <c r="F32" s="17"/>
      <c r="G32" s="17"/>
      <c r="H32" s="17"/>
      <c r="I32" s="17"/>
    </row>
    <row r="34" spans="2:14" x14ac:dyDescent="0.35">
      <c r="B34" s="16" t="s">
        <v>75</v>
      </c>
      <c r="C34" s="17"/>
      <c r="D34" s="17"/>
      <c r="E34" s="17"/>
      <c r="F34" s="17"/>
      <c r="G34" s="17"/>
      <c r="H34" s="17"/>
      <c r="I34" s="17"/>
    </row>
    <row r="36" spans="2:14" x14ac:dyDescent="0.35">
      <c r="B36" s="16" t="s">
        <v>76</v>
      </c>
      <c r="C36" s="17"/>
      <c r="D36" s="17"/>
      <c r="E36" s="17"/>
      <c r="F36" s="17"/>
      <c r="G36" s="17"/>
      <c r="H36" s="17"/>
    </row>
    <row r="38" spans="2:14" x14ac:dyDescent="0.35">
      <c r="B38" s="16" t="s">
        <v>77</v>
      </c>
      <c r="C38" s="17"/>
      <c r="D38" s="17"/>
      <c r="E38" s="17"/>
      <c r="F38" s="17"/>
      <c r="G38" s="17"/>
    </row>
    <row r="40" spans="2:14" x14ac:dyDescent="0.35">
      <c r="B40" s="19" t="s">
        <v>78</v>
      </c>
      <c r="C40" s="17"/>
      <c r="D40" s="17"/>
      <c r="E40" s="17"/>
      <c r="F40" s="17"/>
      <c r="G40" s="17"/>
      <c r="H40" s="17"/>
      <c r="I40" s="17"/>
      <c r="J40" s="17"/>
      <c r="K40" s="17"/>
      <c r="L40" s="17"/>
      <c r="M40" s="17"/>
    </row>
    <row r="42" spans="2:14" x14ac:dyDescent="0.35">
      <c r="B42" s="19" t="s">
        <v>428</v>
      </c>
      <c r="C42" s="17"/>
      <c r="D42" s="17"/>
      <c r="E42" s="17"/>
      <c r="F42" s="17"/>
      <c r="G42" s="17"/>
      <c r="H42" s="17"/>
      <c r="I42" s="17"/>
      <c r="J42" s="17"/>
      <c r="K42" s="17"/>
      <c r="L42" s="17"/>
      <c r="M42" s="17"/>
    </row>
    <row r="44" spans="2:14" x14ac:dyDescent="0.35">
      <c r="B44" s="19" t="s">
        <v>551</v>
      </c>
      <c r="C44" s="17"/>
      <c r="D44" s="17"/>
      <c r="E44" s="17"/>
      <c r="F44" s="17"/>
      <c r="G44" s="17"/>
      <c r="H44" s="17"/>
      <c r="I44" s="17"/>
      <c r="J44" s="17"/>
      <c r="K44" s="17"/>
      <c r="L44" s="17"/>
      <c r="M44" s="17"/>
    </row>
    <row r="46" spans="2:14" x14ac:dyDescent="0.35">
      <c r="B46" s="19" t="s">
        <v>552</v>
      </c>
      <c r="C46" s="17"/>
      <c r="D46" s="17"/>
      <c r="E46" s="17"/>
      <c r="F46" s="17"/>
      <c r="G46" s="17"/>
      <c r="H46" s="17"/>
      <c r="I46" s="17"/>
      <c r="J46" s="17"/>
      <c r="K46" s="17"/>
      <c r="L46" s="17"/>
      <c r="M46" s="17"/>
      <c r="N46" s="17"/>
    </row>
  </sheetData>
  <hyperlinks>
    <hyperlink ref="B6" location="children!A1" display="Table 1.1: Number of children using child care, September quarter 2017 to September quarter 2018" xr:uid="{00000000-0004-0000-0000-000000000000}"/>
    <hyperlink ref="B10" location="children!A1" display="Table 1.3: Number of Children by service type and region, September quarter 2018" xr:uid="{00000000-0004-0000-0000-000001000000}"/>
    <hyperlink ref="B4:O4" location="'Summary '!A1" display="Table s1: Child care children, families, services and estimated entitlements by state and territory, September quarter 2018" xr:uid="{00000000-0004-0000-0000-000002000000}"/>
    <hyperlink ref="B12" location="children!A1" display="Table 1.4: Number of Indigenous children using child care, September quarter 2017 to September quarter 2018" xr:uid="{00000000-0004-0000-0000-000003000000}"/>
    <hyperlink ref="B14" location="children!A1" display="Table 1.5 Number of Indigenous Children by state/territory, September quarter 2018" xr:uid="{00000000-0004-0000-0000-000004000000}"/>
    <hyperlink ref="B16" location="children!A1" display="Table 1.6:  Number of Indigenous Children by service type and region, September quarter 2018" xr:uid="{00000000-0004-0000-0000-000005000000}"/>
    <hyperlink ref="B18" location="Families!A1" display="Table 2.1:  Number of families using child care, September quarter 2017 to September quarter 2018" xr:uid="{00000000-0004-0000-0000-000006000000}"/>
    <hyperlink ref="B20" location="Families!A1" display="Table 2.2: Number of families using child care by state and territory, September quarter 2018" xr:uid="{00000000-0004-0000-0000-000007000000}"/>
    <hyperlink ref="B22" location="Families!A1" display="Table 2.3 Number of families by service type and region, September quarter 2018" xr:uid="{00000000-0004-0000-0000-000008000000}"/>
    <hyperlink ref="B24" location="Families!A1" display="Table 2.4: Number of Indigenous families using child care, September quarter 2017 to September quarter 2018" xr:uid="{00000000-0004-0000-0000-000009000000}"/>
    <hyperlink ref="B26" location="Families!A1" display="Table 2.5:  Number of Indigenous Families by state/territory, September quarter 2018" xr:uid="{00000000-0004-0000-0000-00000A000000}"/>
    <hyperlink ref="B28" location="Families!A1" display="Table 2.6: Number of Indigenous families by service type and region, September quarter 2018" xr:uid="{00000000-0004-0000-0000-00000B000000}"/>
    <hyperlink ref="B30" location="Services!A1" display="Table 3.1: Number of services by state/territory, September quarter 2018" xr:uid="{00000000-0004-0000-0000-00000C000000}"/>
    <hyperlink ref="B34" location="'Ave Hourly Fees'!A1" display="Table 4.1:  Average hourly fee, September quarter 2017 to September quarter 2018" xr:uid="{00000000-0004-0000-0000-00000D000000}"/>
    <hyperlink ref="B36" location="'Ave Hourly Fees'!A1" display="Table 4.3:  Average hourly fee by service type, September quarter 2018" xr:uid="{00000000-0004-0000-0000-00000E000000}"/>
    <hyperlink ref="B38" location="'Statistical Area'!A1" display="Table 5.1: Number of Children by SA3, September quarter 2018" xr:uid="{00000000-0004-0000-0000-00000F000000}"/>
    <hyperlink ref="B6:K6" location="Children!A1" display="Table 1.1: Number of children using child care, September quarter 2017 to September quarter 2018" xr:uid="{00000000-0004-0000-0000-000010000000}"/>
    <hyperlink ref="B8:I8" location="Children!A1" display="Table 1.2: Number of Children by state and territory, September quarter 2018" xr:uid="{00000000-0004-0000-0000-000011000000}"/>
    <hyperlink ref="B10:I10" location="Children!A1" display="Table 1.3: Number of Children by service type and region, September quarter 2018" xr:uid="{00000000-0004-0000-0000-000012000000}"/>
    <hyperlink ref="B12:L12" location="Children!A1" display="Table 1.4: Number of Indigenous children using child care, September quarter 2017 to September quarter 2018" xr:uid="{00000000-0004-0000-0000-000013000000}"/>
    <hyperlink ref="B14:J14" location="Children!A1" display="Table 1.5 Number of Indigenous Children by state/territory, September quarter 2018" xr:uid="{00000000-0004-0000-0000-000014000000}"/>
    <hyperlink ref="B16:K16" location="Children!A1" display="Table 1.6:  Number of Indigenous Children by service type and region, September quarter 2018" xr:uid="{00000000-0004-0000-0000-000015000000}"/>
    <hyperlink ref="B18:K18" location="Families!A1" display="Table 2.1:  Number of families using child care, September quarter 2017 to September quarter 2018" xr:uid="{00000000-0004-0000-0000-000016000000}"/>
    <hyperlink ref="B20:J20" location="Families!A1" display="Table 2.2: Number of families using child care by state and territory, September quarter 2018" xr:uid="{00000000-0004-0000-0000-000017000000}"/>
    <hyperlink ref="B22:I22" location="Families!A1" display="Table 2.3 Number of families by service type and region, September quarter 2018" xr:uid="{00000000-0004-0000-0000-000018000000}"/>
    <hyperlink ref="B24:L24" location="Families!A1" display="Table 2.4: Number of Indigenous families using child care, September quarter 2017 to September quarter 2018" xr:uid="{00000000-0004-0000-0000-000019000000}"/>
    <hyperlink ref="B26:J26" location="Families!A1" display="Table 2.5:  Number of Indigenous Families by state/territory, September quarter 2018" xr:uid="{00000000-0004-0000-0000-00001A000000}"/>
    <hyperlink ref="B28:J28" location="Families!A1" display="Table 2.6: Number of Indigenous families by service type and region, September quarter 2018" xr:uid="{00000000-0004-0000-0000-00001B000000}"/>
    <hyperlink ref="B30:H30" location="Services!A1" display="Table 3.1: Number of services by state/territory, September quarter 2018" xr:uid="{00000000-0004-0000-0000-00001C000000}"/>
    <hyperlink ref="B34:I34" location="'Ave Hourly Fees'!A1" display="Table 4.1:  Average hourly fee, September quarter 2017 to September quarter 2018" xr:uid="{00000000-0004-0000-0000-00001D000000}"/>
    <hyperlink ref="B36:H36" location="'Ave Hourly Fees'!A1" display="Table 4.3:  Average hourly fee by service type, September quarter 2018" xr:uid="{00000000-0004-0000-0000-00001E000000}"/>
    <hyperlink ref="B38:G38" location="'Statistical Area'!A1" display="Table 5.1: Number of Children by SA3, September quarter 2018" xr:uid="{00000000-0004-0000-0000-00001F000000}"/>
    <hyperlink ref="B40:M40" location="'Ave Weekly Hours'!A1" display="Table 6.1: Average weekly hours (per child) by service type and state and territory, September quarter 2018" xr:uid="{00000000-0004-0000-0000-000020000000}"/>
    <hyperlink ref="B42:M42" location="ACCS!A1" display="Table 7.1: Number of  Families and Children accessing Additional Child Care Subsidy, September quarter 2018" xr:uid="{00000000-0004-0000-0000-000021000000}"/>
    <hyperlink ref="B32:I32" location="Services!A1" display="Table 3.2: Number of services under/over the fee cap, December quarter 2018" xr:uid="{00000000-0004-0000-0000-000022000000}"/>
    <hyperlink ref="B44:M44" location="'CBDC fees'!A1" display="Table 8.1: Centre Based Day Care Average fee per hour by SA3, December quarter 2017 &amp; December quarter 2018" xr:uid="{00000000-0004-0000-0000-000023000000}"/>
    <hyperlink ref="B46:N46" location="'OSHC fees'!A1" display="Table 9.1: Outside School Hours Care averge fee per hour analysis by SA3, December quarter 2017 &amp; December quarter 2018" xr:uid="{00000000-0004-0000-0000-000024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20"/>
  <sheetViews>
    <sheetView zoomScaleNormal="100" workbookViewId="0">
      <selection activeCell="D25" sqref="D25"/>
    </sheetView>
  </sheetViews>
  <sheetFormatPr defaultColWidth="9.1796875" defaultRowHeight="14.5" x14ac:dyDescent="0.35"/>
  <cols>
    <col min="2" max="2" width="15.81640625" customWidth="1"/>
    <col min="3" max="6" width="14" customWidth="1"/>
  </cols>
  <sheetData>
    <row r="2" spans="2:6" ht="18.5" x14ac:dyDescent="0.45">
      <c r="B2" s="7" t="s">
        <v>27</v>
      </c>
    </row>
    <row r="5" spans="2:6" ht="15" customHeight="1" x14ac:dyDescent="0.35">
      <c r="B5" s="24" t="s">
        <v>57</v>
      </c>
    </row>
    <row r="6" spans="2:6" ht="60" x14ac:dyDescent="0.35">
      <c r="B6" s="27" t="s">
        <v>22</v>
      </c>
      <c r="C6" s="27" t="s">
        <v>23</v>
      </c>
      <c r="D6" s="27" t="s">
        <v>24</v>
      </c>
      <c r="E6" s="27" t="s">
        <v>25</v>
      </c>
      <c r="F6" s="27" t="s">
        <v>81</v>
      </c>
    </row>
    <row r="7" spans="2:6" x14ac:dyDescent="0.35">
      <c r="B7" s="2" t="s">
        <v>2</v>
      </c>
      <c r="C7" s="32">
        <v>434530</v>
      </c>
      <c r="D7" s="32">
        <v>308210</v>
      </c>
      <c r="E7" s="32">
        <v>4682</v>
      </c>
      <c r="F7" s="33">
        <v>658937</v>
      </c>
    </row>
    <row r="8" spans="2:6" x14ac:dyDescent="0.35">
      <c r="B8" s="2" t="s">
        <v>3</v>
      </c>
      <c r="C8" s="32">
        <v>318490</v>
      </c>
      <c r="D8" s="32">
        <v>225060</v>
      </c>
      <c r="E8" s="32">
        <v>2978</v>
      </c>
      <c r="F8" s="33">
        <v>505011</v>
      </c>
    </row>
    <row r="9" spans="2:6" x14ac:dyDescent="0.35">
      <c r="B9" s="2" t="s">
        <v>4</v>
      </c>
      <c r="C9" s="32">
        <v>302280</v>
      </c>
      <c r="D9" s="32">
        <v>208160</v>
      </c>
      <c r="E9" s="32">
        <v>2477</v>
      </c>
      <c r="F9" s="33">
        <v>454512</v>
      </c>
    </row>
    <row r="10" spans="2:6" x14ac:dyDescent="0.35">
      <c r="B10" s="2" t="s">
        <v>5</v>
      </c>
      <c r="C10" s="32">
        <v>88850</v>
      </c>
      <c r="D10" s="32">
        <v>60970</v>
      </c>
      <c r="E10" s="34">
        <v>803</v>
      </c>
      <c r="F10" s="33">
        <v>103590</v>
      </c>
    </row>
    <row r="11" spans="2:6" x14ac:dyDescent="0.35">
      <c r="B11" s="2" t="s">
        <v>6</v>
      </c>
      <c r="C11" s="32">
        <v>105740</v>
      </c>
      <c r="D11" s="32">
        <v>75840</v>
      </c>
      <c r="E11" s="32">
        <v>1171</v>
      </c>
      <c r="F11" s="33">
        <v>143532</v>
      </c>
    </row>
    <row r="12" spans="2:6" x14ac:dyDescent="0.35">
      <c r="B12" s="2" t="s">
        <v>7</v>
      </c>
      <c r="C12" s="32">
        <v>23650</v>
      </c>
      <c r="D12" s="32">
        <v>16530</v>
      </c>
      <c r="E12" s="34">
        <v>276</v>
      </c>
      <c r="F12" s="33">
        <v>27415</v>
      </c>
    </row>
    <row r="13" spans="2:6" x14ac:dyDescent="0.35">
      <c r="B13" s="2" t="s">
        <v>8</v>
      </c>
      <c r="C13" s="32">
        <v>10800</v>
      </c>
      <c r="D13" s="32">
        <v>7670</v>
      </c>
      <c r="E13" s="34">
        <v>172</v>
      </c>
      <c r="F13" s="33">
        <v>15827</v>
      </c>
    </row>
    <row r="14" spans="2:6" x14ac:dyDescent="0.35">
      <c r="B14" s="2" t="s">
        <v>9</v>
      </c>
      <c r="C14" s="32">
        <v>31810</v>
      </c>
      <c r="D14" s="32">
        <v>22040</v>
      </c>
      <c r="E14" s="34">
        <v>278</v>
      </c>
      <c r="F14" s="33">
        <v>46679</v>
      </c>
    </row>
    <row r="15" spans="2:6" x14ac:dyDescent="0.35">
      <c r="B15" s="8" t="s">
        <v>58</v>
      </c>
      <c r="C15" s="36">
        <v>1316080</v>
      </c>
      <c r="D15" s="36">
        <v>923390</v>
      </c>
      <c r="E15" s="36">
        <v>12886</v>
      </c>
      <c r="F15" s="49">
        <v>1961225</v>
      </c>
    </row>
    <row r="16" spans="2:6" x14ac:dyDescent="0.35">
      <c r="B16" s="13" t="s">
        <v>445</v>
      </c>
      <c r="C16" s="59"/>
      <c r="D16" s="59"/>
      <c r="E16" s="59"/>
      <c r="F16" s="60"/>
    </row>
    <row r="17" spans="2:2" ht="15" customHeight="1" x14ac:dyDescent="0.35">
      <c r="B17" s="13" t="s">
        <v>60</v>
      </c>
    </row>
    <row r="18" spans="2:2" ht="15" customHeight="1" x14ac:dyDescent="0.35">
      <c r="B18" s="13" t="s">
        <v>59</v>
      </c>
    </row>
    <row r="19" spans="2:2" ht="15" customHeight="1" x14ac:dyDescent="0.35">
      <c r="B19" s="13" t="s">
        <v>49</v>
      </c>
    </row>
    <row r="20" spans="2:2" x14ac:dyDescent="0.35">
      <c r="B20" s="13" t="s">
        <v>51</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K74"/>
  <sheetViews>
    <sheetView zoomScaleNormal="100" workbookViewId="0">
      <selection activeCell="J29" sqref="J29"/>
    </sheetView>
  </sheetViews>
  <sheetFormatPr defaultColWidth="9.1796875" defaultRowHeight="14.5" x14ac:dyDescent="0.35"/>
  <cols>
    <col min="2" max="2" width="24.7265625" bestFit="1" customWidth="1"/>
    <col min="3" max="16" width="12.81640625" customWidth="1"/>
  </cols>
  <sheetData>
    <row r="2" spans="2:11" ht="18.5" x14ac:dyDescent="0.45">
      <c r="B2" s="7" t="s">
        <v>28</v>
      </c>
    </row>
    <row r="5" spans="2:11" ht="15" customHeight="1" x14ac:dyDescent="0.35">
      <c r="B5" s="24" t="s">
        <v>62</v>
      </c>
    </row>
    <row r="6" spans="2:11" x14ac:dyDescent="0.35">
      <c r="B6" s="28" t="s">
        <v>0</v>
      </c>
      <c r="C6" s="28" t="s">
        <v>32</v>
      </c>
      <c r="D6" s="28" t="s">
        <v>33</v>
      </c>
      <c r="E6" s="28" t="s">
        <v>34</v>
      </c>
      <c r="F6" s="28" t="s">
        <v>35</v>
      </c>
      <c r="G6" s="28" t="s">
        <v>61</v>
      </c>
    </row>
    <row r="7" spans="2:11" x14ac:dyDescent="0.35">
      <c r="B7" s="2" t="s">
        <v>1</v>
      </c>
      <c r="C7" s="4">
        <v>1302940</v>
      </c>
      <c r="D7" s="4">
        <v>1287900</v>
      </c>
      <c r="E7" s="4">
        <v>1269260</v>
      </c>
      <c r="F7" s="4">
        <v>1316350</v>
      </c>
      <c r="G7" s="32">
        <v>1316080</v>
      </c>
    </row>
    <row r="8" spans="2:11" x14ac:dyDescent="0.35">
      <c r="B8" s="6" t="s">
        <v>51</v>
      </c>
    </row>
    <row r="9" spans="2:11" x14ac:dyDescent="0.35">
      <c r="B9" s="6"/>
    </row>
    <row r="11" spans="2:11" ht="15" customHeight="1" x14ac:dyDescent="0.35">
      <c r="B11" s="24" t="s">
        <v>63</v>
      </c>
    </row>
    <row r="12" spans="2:11" x14ac:dyDescent="0.35">
      <c r="B12" s="28"/>
      <c r="C12" s="35" t="s">
        <v>2</v>
      </c>
      <c r="D12" s="35" t="s">
        <v>3</v>
      </c>
      <c r="E12" s="35" t="s">
        <v>4</v>
      </c>
      <c r="F12" s="35" t="s">
        <v>5</v>
      </c>
      <c r="G12" s="35" t="s">
        <v>6</v>
      </c>
      <c r="H12" s="35" t="s">
        <v>7</v>
      </c>
      <c r="I12" s="35" t="s">
        <v>8</v>
      </c>
      <c r="J12" s="35" t="s">
        <v>9</v>
      </c>
      <c r="K12" s="35" t="s">
        <v>20</v>
      </c>
    </row>
    <row r="13" spans="2:11" x14ac:dyDescent="0.35">
      <c r="B13" s="2" t="s">
        <v>11</v>
      </c>
      <c r="C13" s="32">
        <v>256090</v>
      </c>
      <c r="D13" s="32">
        <v>186780</v>
      </c>
      <c r="E13" s="32">
        <v>181050</v>
      </c>
      <c r="F13" s="32">
        <v>45470</v>
      </c>
      <c r="G13" s="32">
        <v>64250</v>
      </c>
      <c r="H13" s="32">
        <v>13000</v>
      </c>
      <c r="I13" s="32">
        <v>6490</v>
      </c>
      <c r="J13" s="32">
        <v>17800</v>
      </c>
      <c r="K13" s="32">
        <v>769960</v>
      </c>
    </row>
    <row r="14" spans="2:11" x14ac:dyDescent="0.35">
      <c r="B14" s="2" t="s">
        <v>12</v>
      </c>
      <c r="C14" s="32">
        <v>46370</v>
      </c>
      <c r="D14" s="32">
        <v>37800</v>
      </c>
      <c r="E14" s="32">
        <v>23380</v>
      </c>
      <c r="F14" s="32">
        <v>4200</v>
      </c>
      <c r="G14" s="32">
        <v>10030</v>
      </c>
      <c r="H14" s="32">
        <v>3670</v>
      </c>
      <c r="I14" s="34">
        <v>280</v>
      </c>
      <c r="J14" s="32">
        <v>1290</v>
      </c>
      <c r="K14" s="32">
        <v>126930</v>
      </c>
    </row>
    <row r="15" spans="2:11" x14ac:dyDescent="0.35">
      <c r="B15" s="2" t="s">
        <v>14</v>
      </c>
      <c r="C15" s="32">
        <v>141840</v>
      </c>
      <c r="D15" s="32">
        <v>100840</v>
      </c>
      <c r="E15" s="32">
        <v>105110</v>
      </c>
      <c r="F15" s="32">
        <v>41800</v>
      </c>
      <c r="G15" s="32">
        <v>37490</v>
      </c>
      <c r="H15" s="32">
        <v>8470</v>
      </c>
      <c r="I15" s="32">
        <v>4330</v>
      </c>
      <c r="J15" s="32">
        <v>13480</v>
      </c>
      <c r="K15" s="32">
        <v>453060</v>
      </c>
    </row>
    <row r="16" spans="2:11" ht="16.5" x14ac:dyDescent="0.35">
      <c r="B16" s="8" t="s">
        <v>85</v>
      </c>
      <c r="C16" s="36">
        <v>434530</v>
      </c>
      <c r="D16" s="36">
        <v>318490</v>
      </c>
      <c r="E16" s="36">
        <v>302280</v>
      </c>
      <c r="F16" s="36">
        <v>88850</v>
      </c>
      <c r="G16" s="36">
        <v>105740</v>
      </c>
      <c r="H16" s="36">
        <v>23650</v>
      </c>
      <c r="I16" s="36">
        <v>10800</v>
      </c>
      <c r="J16" s="36">
        <v>31810</v>
      </c>
      <c r="K16" s="36">
        <v>1314390</v>
      </c>
    </row>
    <row r="17" spans="2:11" x14ac:dyDescent="0.35">
      <c r="B17" s="2" t="s">
        <v>13</v>
      </c>
      <c r="C17" s="32"/>
      <c r="D17" s="32"/>
      <c r="E17" s="32"/>
      <c r="F17" s="32"/>
      <c r="G17" s="32"/>
      <c r="H17" s="32"/>
      <c r="I17" s="32"/>
      <c r="J17" s="32"/>
      <c r="K17" s="32">
        <v>2410</v>
      </c>
    </row>
    <row r="18" spans="2:11" x14ac:dyDescent="0.35">
      <c r="B18" s="8" t="s">
        <v>84</v>
      </c>
      <c r="C18" s="32"/>
      <c r="D18" s="32"/>
      <c r="E18" s="32"/>
      <c r="F18" s="32"/>
      <c r="G18" s="32"/>
      <c r="H18" s="32"/>
      <c r="I18" s="32"/>
      <c r="J18" s="32"/>
      <c r="K18" s="36">
        <v>1316080</v>
      </c>
    </row>
    <row r="19" spans="2:11" x14ac:dyDescent="0.35">
      <c r="B19" s="6" t="s">
        <v>86</v>
      </c>
    </row>
    <row r="20" spans="2:11" x14ac:dyDescent="0.35">
      <c r="B20" s="6" t="s">
        <v>59</v>
      </c>
    </row>
    <row r="21" spans="2:11" ht="15" customHeight="1" x14ac:dyDescent="0.35">
      <c r="B21" s="14" t="s">
        <v>79</v>
      </c>
      <c r="C21" s="6"/>
      <c r="D21" s="6"/>
      <c r="E21" s="6"/>
      <c r="F21" s="6"/>
      <c r="G21" s="6"/>
      <c r="H21" s="6"/>
      <c r="I21" s="6"/>
      <c r="J21" s="6"/>
      <c r="K21" s="6"/>
    </row>
    <row r="22" spans="2:11" ht="15" customHeight="1" x14ac:dyDescent="0.35">
      <c r="B22" s="6" t="s">
        <v>80</v>
      </c>
      <c r="C22" s="6"/>
      <c r="D22" s="6"/>
      <c r="E22" s="6"/>
      <c r="F22" s="6"/>
      <c r="G22" s="6"/>
      <c r="H22" s="6"/>
      <c r="I22" s="6"/>
      <c r="J22" s="6"/>
      <c r="K22" s="6"/>
    </row>
    <row r="23" spans="2:11" x14ac:dyDescent="0.35">
      <c r="B23" s="6" t="s">
        <v>51</v>
      </c>
      <c r="C23" s="6"/>
      <c r="D23" s="6"/>
      <c r="E23" s="6"/>
      <c r="F23" s="6"/>
      <c r="G23" s="6"/>
      <c r="H23" s="6"/>
      <c r="I23" s="6"/>
      <c r="J23" s="6"/>
      <c r="K23" s="6"/>
    </row>
    <row r="26" spans="2:11" ht="15" customHeight="1" x14ac:dyDescent="0.35">
      <c r="B26" s="24" t="s">
        <v>64</v>
      </c>
      <c r="C26" s="15"/>
      <c r="D26" s="15"/>
      <c r="E26" s="15"/>
      <c r="F26" s="15"/>
      <c r="G26" s="15"/>
      <c r="H26" s="15"/>
      <c r="I26" s="15"/>
      <c r="J26" s="15"/>
      <c r="K26" s="15"/>
    </row>
    <row r="27" spans="2:11" ht="29" x14ac:dyDescent="0.35">
      <c r="B27" s="28" t="s">
        <v>0</v>
      </c>
      <c r="C27" s="54" t="s">
        <v>431</v>
      </c>
      <c r="D27" s="54" t="s">
        <v>430</v>
      </c>
      <c r="E27" s="54" t="s">
        <v>432</v>
      </c>
      <c r="F27" s="54" t="s">
        <v>433</v>
      </c>
      <c r="G27" s="54" t="s">
        <v>20</v>
      </c>
    </row>
    <row r="28" spans="2:11" x14ac:dyDescent="0.35">
      <c r="B28" s="52" t="s">
        <v>11</v>
      </c>
      <c r="C28" s="23">
        <v>582760</v>
      </c>
      <c r="D28" s="23">
        <v>130180</v>
      </c>
      <c r="E28" s="23">
        <v>49700</v>
      </c>
      <c r="F28" s="23">
        <v>9480</v>
      </c>
      <c r="G28" s="23">
        <v>769960</v>
      </c>
    </row>
    <row r="29" spans="2:11" x14ac:dyDescent="0.35">
      <c r="B29" s="52" t="s">
        <v>12</v>
      </c>
      <c r="C29" s="32">
        <v>95500</v>
      </c>
      <c r="D29" s="32">
        <v>22520</v>
      </c>
      <c r="E29" s="32">
        <v>8960</v>
      </c>
      <c r="F29" s="34">
        <v>670</v>
      </c>
      <c r="G29" s="32">
        <v>126930</v>
      </c>
    </row>
    <row r="30" spans="2:11" x14ac:dyDescent="0.35">
      <c r="B30" s="52" t="s">
        <v>14</v>
      </c>
      <c r="C30" s="32">
        <v>373910</v>
      </c>
      <c r="D30" s="32">
        <v>55420</v>
      </c>
      <c r="E30" s="32">
        <v>22110</v>
      </c>
      <c r="F30" s="32">
        <v>2440</v>
      </c>
      <c r="G30" s="32">
        <v>453060</v>
      </c>
    </row>
    <row r="31" spans="2:11" ht="16.5" x14ac:dyDescent="0.35">
      <c r="B31" s="53" t="s">
        <v>85</v>
      </c>
      <c r="C31" s="36">
        <v>1027940</v>
      </c>
      <c r="D31" s="36">
        <v>202100</v>
      </c>
      <c r="E31" s="36">
        <v>78370</v>
      </c>
      <c r="F31" s="36">
        <v>12310</v>
      </c>
      <c r="G31" s="36">
        <v>1314390</v>
      </c>
    </row>
    <row r="32" spans="2:11" x14ac:dyDescent="0.35">
      <c r="B32" s="2" t="s">
        <v>13</v>
      </c>
      <c r="C32" s="55"/>
      <c r="D32" s="55"/>
      <c r="E32" s="55"/>
      <c r="F32" s="56"/>
      <c r="G32" s="32">
        <v>2410</v>
      </c>
    </row>
    <row r="33" spans="2:11" x14ac:dyDescent="0.35">
      <c r="B33" s="8" t="s">
        <v>84</v>
      </c>
      <c r="C33" s="50"/>
      <c r="D33" s="50"/>
      <c r="E33" s="50"/>
      <c r="F33" s="22"/>
      <c r="G33" s="36">
        <v>1316080</v>
      </c>
    </row>
    <row r="34" spans="2:11" x14ac:dyDescent="0.35">
      <c r="B34" s="6" t="s">
        <v>86</v>
      </c>
      <c r="C34" s="51"/>
      <c r="D34" s="51"/>
      <c r="E34" s="51"/>
    </row>
    <row r="35" spans="2:11" x14ac:dyDescent="0.35">
      <c r="B35" s="6" t="s">
        <v>59</v>
      </c>
      <c r="C35" s="51"/>
      <c r="D35" s="51"/>
      <c r="E35" s="51"/>
    </row>
    <row r="36" spans="2:11" x14ac:dyDescent="0.35">
      <c r="B36" s="6" t="s">
        <v>434</v>
      </c>
    </row>
    <row r="37" spans="2:11" x14ac:dyDescent="0.35">
      <c r="B37" s="6" t="s">
        <v>435</v>
      </c>
    </row>
    <row r="38" spans="2:11" x14ac:dyDescent="0.35">
      <c r="B38" s="6" t="s">
        <v>51</v>
      </c>
    </row>
    <row r="41" spans="2:11" ht="15" customHeight="1" x14ac:dyDescent="0.35">
      <c r="B41" s="24" t="s">
        <v>65</v>
      </c>
    </row>
    <row r="42" spans="2:11" x14ac:dyDescent="0.35">
      <c r="B42" s="28" t="s">
        <v>0</v>
      </c>
      <c r="C42" s="28" t="s">
        <v>32</v>
      </c>
      <c r="D42" s="28" t="s">
        <v>33</v>
      </c>
      <c r="E42" s="28" t="s">
        <v>34</v>
      </c>
      <c r="F42" s="28" t="s">
        <v>35</v>
      </c>
      <c r="G42" s="28" t="s">
        <v>61</v>
      </c>
    </row>
    <row r="43" spans="2:11" x14ac:dyDescent="0.35">
      <c r="B43" s="2" t="s">
        <v>16</v>
      </c>
      <c r="C43" s="4">
        <v>34500</v>
      </c>
      <c r="D43" s="4">
        <v>34080</v>
      </c>
      <c r="E43" s="4">
        <v>34040</v>
      </c>
      <c r="F43" s="4">
        <v>50210</v>
      </c>
      <c r="G43" s="32">
        <v>50950</v>
      </c>
    </row>
    <row r="44" spans="2:11" x14ac:dyDescent="0.35">
      <c r="B44" s="6" t="s">
        <v>51</v>
      </c>
    </row>
    <row r="45" spans="2:11" x14ac:dyDescent="0.35">
      <c r="B45" s="6"/>
    </row>
    <row r="47" spans="2:11" ht="15" customHeight="1" x14ac:dyDescent="0.35">
      <c r="B47" s="24" t="s">
        <v>66</v>
      </c>
    </row>
    <row r="48" spans="2:11" x14ac:dyDescent="0.35">
      <c r="B48" s="28" t="s">
        <v>0</v>
      </c>
      <c r="C48" s="35" t="s">
        <v>2</v>
      </c>
      <c r="D48" s="35" t="s">
        <v>3</v>
      </c>
      <c r="E48" s="35" t="s">
        <v>4</v>
      </c>
      <c r="F48" s="35" t="s">
        <v>5</v>
      </c>
      <c r="G48" s="35" t="s">
        <v>6</v>
      </c>
      <c r="H48" s="35" t="s">
        <v>7</v>
      </c>
      <c r="I48" s="35" t="s">
        <v>8</v>
      </c>
      <c r="J48" s="35" t="s">
        <v>9</v>
      </c>
      <c r="K48" s="35" t="s">
        <v>20</v>
      </c>
    </row>
    <row r="49" spans="2:11" x14ac:dyDescent="0.35">
      <c r="B49" s="2" t="s">
        <v>11</v>
      </c>
      <c r="C49" s="32">
        <v>12650</v>
      </c>
      <c r="D49" s="32">
        <v>3100</v>
      </c>
      <c r="E49" s="32">
        <v>12400</v>
      </c>
      <c r="F49" s="32">
        <v>1410</v>
      </c>
      <c r="G49" s="32">
        <v>2630</v>
      </c>
      <c r="H49" s="32">
        <v>1110</v>
      </c>
      <c r="I49" s="32">
        <v>1050</v>
      </c>
      <c r="J49" s="34">
        <v>400</v>
      </c>
      <c r="K49" s="32">
        <v>34690</v>
      </c>
    </row>
    <row r="50" spans="2:11" x14ac:dyDescent="0.35">
      <c r="B50" s="2" t="s">
        <v>12</v>
      </c>
      <c r="C50" s="32">
        <v>1940</v>
      </c>
      <c r="D50" s="34">
        <v>330</v>
      </c>
      <c r="E50" s="32">
        <v>1240</v>
      </c>
      <c r="F50" s="34">
        <v>140</v>
      </c>
      <c r="G50" s="34">
        <v>220</v>
      </c>
      <c r="H50" s="34">
        <v>380</v>
      </c>
      <c r="I50" s="34">
        <v>20</v>
      </c>
      <c r="J50" s="34">
        <v>40</v>
      </c>
      <c r="K50" s="32">
        <v>4310</v>
      </c>
    </row>
    <row r="51" spans="2:11" x14ac:dyDescent="0.35">
      <c r="B51" s="2" t="s">
        <v>14</v>
      </c>
      <c r="C51" s="32">
        <v>4140</v>
      </c>
      <c r="D51" s="32">
        <v>1200</v>
      </c>
      <c r="E51" s="32">
        <v>4560</v>
      </c>
      <c r="F51" s="34">
        <v>930</v>
      </c>
      <c r="G51" s="32">
        <v>1000</v>
      </c>
      <c r="H51" s="34">
        <v>570</v>
      </c>
      <c r="I51" s="34">
        <v>580</v>
      </c>
      <c r="J51" s="34">
        <v>270</v>
      </c>
      <c r="K51" s="32">
        <v>13220</v>
      </c>
    </row>
    <row r="52" spans="2:11" ht="16.5" x14ac:dyDescent="0.35">
      <c r="B52" s="8" t="s">
        <v>85</v>
      </c>
      <c r="C52" s="36">
        <v>18270</v>
      </c>
      <c r="D52" s="36">
        <v>4560</v>
      </c>
      <c r="E52" s="36">
        <v>17790</v>
      </c>
      <c r="F52" s="36">
        <v>2410</v>
      </c>
      <c r="G52" s="36">
        <v>3710</v>
      </c>
      <c r="H52" s="36">
        <v>1930</v>
      </c>
      <c r="I52" s="36">
        <v>1610</v>
      </c>
      <c r="J52" s="37">
        <v>690</v>
      </c>
      <c r="K52" s="36">
        <v>50860</v>
      </c>
    </row>
    <row r="53" spans="2:11" x14ac:dyDescent="0.35">
      <c r="B53" s="2" t="s">
        <v>13</v>
      </c>
      <c r="C53" s="32"/>
      <c r="D53" s="32"/>
      <c r="E53" s="32"/>
      <c r="F53" s="32"/>
      <c r="G53" s="32"/>
      <c r="H53" s="32"/>
      <c r="I53" s="32"/>
      <c r="J53" s="34"/>
      <c r="K53" s="34">
        <v>130</v>
      </c>
    </row>
    <row r="54" spans="2:11" x14ac:dyDescent="0.35">
      <c r="B54" s="8" t="s">
        <v>84</v>
      </c>
      <c r="C54" s="32"/>
      <c r="D54" s="32"/>
      <c r="E54" s="32"/>
      <c r="F54" s="32"/>
      <c r="G54" s="32"/>
      <c r="H54" s="32"/>
      <c r="I54" s="32"/>
      <c r="J54" s="34"/>
      <c r="K54" s="36">
        <v>50950</v>
      </c>
    </row>
    <row r="55" spans="2:11" x14ac:dyDescent="0.35">
      <c r="B55" s="6" t="s">
        <v>86</v>
      </c>
    </row>
    <row r="56" spans="2:11" x14ac:dyDescent="0.35">
      <c r="B56" s="6" t="s">
        <v>59</v>
      </c>
    </row>
    <row r="57" spans="2:11" x14ac:dyDescent="0.35">
      <c r="B57" s="14" t="s">
        <v>79</v>
      </c>
    </row>
    <row r="58" spans="2:11" x14ac:dyDescent="0.35">
      <c r="B58" s="6" t="s">
        <v>80</v>
      </c>
    </row>
    <row r="59" spans="2:11" x14ac:dyDescent="0.35">
      <c r="B59" s="6" t="s">
        <v>51</v>
      </c>
    </row>
    <row r="60" spans="2:11" x14ac:dyDescent="0.35">
      <c r="B60" s="6"/>
    </row>
    <row r="61" spans="2:11" x14ac:dyDescent="0.35">
      <c r="B61" s="6"/>
    </row>
    <row r="62" spans="2:11" ht="15" customHeight="1" x14ac:dyDescent="0.35">
      <c r="B62" s="24" t="s">
        <v>67</v>
      </c>
    </row>
    <row r="63" spans="2:11" ht="29" x14ac:dyDescent="0.35">
      <c r="B63" s="28" t="s">
        <v>0</v>
      </c>
      <c r="C63" s="54" t="s">
        <v>431</v>
      </c>
      <c r="D63" s="54" t="s">
        <v>430</v>
      </c>
      <c r="E63" s="54" t="s">
        <v>432</v>
      </c>
      <c r="F63" s="54" t="s">
        <v>433</v>
      </c>
      <c r="G63" s="54" t="s">
        <v>20</v>
      </c>
    </row>
    <row r="64" spans="2:11" x14ac:dyDescent="0.35">
      <c r="B64" s="52" t="s">
        <v>11</v>
      </c>
      <c r="C64" s="23">
        <v>16700</v>
      </c>
      <c r="D64" s="23">
        <v>10140</v>
      </c>
      <c r="E64" s="23">
        <v>6150</v>
      </c>
      <c r="F64" s="23">
        <v>1880</v>
      </c>
      <c r="G64" s="23">
        <v>34690</v>
      </c>
    </row>
    <row r="65" spans="2:11" x14ac:dyDescent="0.35">
      <c r="B65" s="52" t="s">
        <v>12</v>
      </c>
      <c r="C65" s="32">
        <v>1880</v>
      </c>
      <c r="D65" s="32">
        <v>1570</v>
      </c>
      <c r="E65" s="34">
        <v>820</v>
      </c>
      <c r="F65" s="34">
        <v>90</v>
      </c>
      <c r="G65" s="32">
        <v>4310</v>
      </c>
    </row>
    <row r="66" spans="2:11" x14ac:dyDescent="0.35">
      <c r="B66" s="52" t="s">
        <v>14</v>
      </c>
      <c r="C66" s="32">
        <v>7660</v>
      </c>
      <c r="D66" s="32">
        <v>3030</v>
      </c>
      <c r="E66" s="32">
        <v>2050</v>
      </c>
      <c r="F66" s="34">
        <v>510</v>
      </c>
      <c r="G66" s="32">
        <v>13220</v>
      </c>
    </row>
    <row r="67" spans="2:11" ht="16.5" x14ac:dyDescent="0.35">
      <c r="B67" s="53" t="s">
        <v>85</v>
      </c>
      <c r="C67" s="36">
        <v>25700</v>
      </c>
      <c r="D67" s="36">
        <v>14340</v>
      </c>
      <c r="E67" s="36">
        <v>8770</v>
      </c>
      <c r="F67" s="36">
        <v>2460</v>
      </c>
      <c r="G67" s="36">
        <v>50860</v>
      </c>
    </row>
    <row r="68" spans="2:11" x14ac:dyDescent="0.35">
      <c r="B68" s="2" t="s">
        <v>13</v>
      </c>
      <c r="C68" s="55"/>
      <c r="D68" s="55"/>
      <c r="E68" s="55"/>
      <c r="F68" s="56"/>
      <c r="G68" s="34">
        <v>130</v>
      </c>
    </row>
    <row r="69" spans="2:11" ht="15" customHeight="1" x14ac:dyDescent="0.35">
      <c r="B69" s="8" t="s">
        <v>84</v>
      </c>
      <c r="C69" s="50"/>
      <c r="D69" s="50"/>
      <c r="E69" s="50"/>
      <c r="F69" s="22"/>
      <c r="G69" s="36">
        <v>50950</v>
      </c>
      <c r="H69" s="6"/>
      <c r="I69" s="6"/>
      <c r="J69" s="6"/>
      <c r="K69" s="6"/>
    </row>
    <row r="70" spans="2:11" x14ac:dyDescent="0.35">
      <c r="B70" s="6" t="s">
        <v>86</v>
      </c>
      <c r="C70" s="51"/>
      <c r="D70" s="51"/>
      <c r="E70" s="51"/>
      <c r="H70" s="6"/>
      <c r="I70" s="6"/>
      <c r="J70" s="6"/>
      <c r="K70" s="6"/>
    </row>
    <row r="71" spans="2:11" ht="15" customHeight="1" x14ac:dyDescent="0.35">
      <c r="B71" s="6" t="s">
        <v>59</v>
      </c>
      <c r="C71" s="51"/>
      <c r="D71" s="51"/>
      <c r="E71" s="51"/>
      <c r="H71" s="6"/>
      <c r="I71" s="6"/>
      <c r="J71" s="6"/>
      <c r="K71" s="6"/>
    </row>
    <row r="72" spans="2:11" x14ac:dyDescent="0.35">
      <c r="B72" s="6" t="s">
        <v>434</v>
      </c>
    </row>
    <row r="73" spans="2:11" x14ac:dyDescent="0.35">
      <c r="B73" s="6" t="s">
        <v>435</v>
      </c>
    </row>
    <row r="74" spans="2:11" x14ac:dyDescent="0.35">
      <c r="B74" s="6" t="s">
        <v>51</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N74"/>
  <sheetViews>
    <sheetView zoomScaleNormal="100" workbookViewId="0">
      <selection activeCell="K31" sqref="K31"/>
    </sheetView>
  </sheetViews>
  <sheetFormatPr defaultColWidth="9.1796875" defaultRowHeight="14.5" x14ac:dyDescent="0.35"/>
  <cols>
    <col min="2" max="2" width="26" customWidth="1"/>
    <col min="3" max="15" width="12.7265625" customWidth="1"/>
  </cols>
  <sheetData>
    <row r="2" spans="2:11" ht="18.5" x14ac:dyDescent="0.45">
      <c r="B2" s="7" t="s">
        <v>29</v>
      </c>
    </row>
    <row r="5" spans="2:11" ht="15" customHeight="1" x14ac:dyDescent="0.35">
      <c r="B5" s="24" t="s">
        <v>68</v>
      </c>
    </row>
    <row r="6" spans="2:11" x14ac:dyDescent="0.35">
      <c r="B6" s="28" t="s">
        <v>0</v>
      </c>
      <c r="C6" s="28" t="s">
        <v>32</v>
      </c>
      <c r="D6" s="28" t="s">
        <v>33</v>
      </c>
      <c r="E6" s="28" t="s">
        <v>34</v>
      </c>
      <c r="F6" s="28" t="s">
        <v>35</v>
      </c>
      <c r="G6" s="28" t="s">
        <v>61</v>
      </c>
    </row>
    <row r="7" spans="2:11" x14ac:dyDescent="0.35">
      <c r="B7" s="2" t="s">
        <v>17</v>
      </c>
      <c r="C7" s="4">
        <v>897880</v>
      </c>
      <c r="D7" s="4">
        <v>887490</v>
      </c>
      <c r="E7" s="4">
        <v>882540</v>
      </c>
      <c r="F7" s="3">
        <v>931030</v>
      </c>
      <c r="G7" s="32">
        <v>923390</v>
      </c>
    </row>
    <row r="8" spans="2:11" x14ac:dyDescent="0.35">
      <c r="B8" s="6" t="s">
        <v>51</v>
      </c>
    </row>
    <row r="9" spans="2:11" x14ac:dyDescent="0.35">
      <c r="B9" s="6"/>
    </row>
    <row r="11" spans="2:11" ht="15" customHeight="1" x14ac:dyDescent="0.35">
      <c r="B11" s="24" t="s">
        <v>69</v>
      </c>
    </row>
    <row r="12" spans="2:11" x14ac:dyDescent="0.35">
      <c r="B12" s="28" t="s">
        <v>0</v>
      </c>
      <c r="C12" s="35" t="s">
        <v>2</v>
      </c>
      <c r="D12" s="35" t="s">
        <v>3</v>
      </c>
      <c r="E12" s="35" t="s">
        <v>4</v>
      </c>
      <c r="F12" s="35" t="s">
        <v>5</v>
      </c>
      <c r="G12" s="35" t="s">
        <v>6</v>
      </c>
      <c r="H12" s="35" t="s">
        <v>7</v>
      </c>
      <c r="I12" s="35" t="s">
        <v>8</v>
      </c>
      <c r="J12" s="35" t="s">
        <v>9</v>
      </c>
      <c r="K12" s="35" t="s">
        <v>20</v>
      </c>
    </row>
    <row r="13" spans="2:11" x14ac:dyDescent="0.35">
      <c r="B13" s="2" t="s">
        <v>11</v>
      </c>
      <c r="C13" s="32">
        <v>210990</v>
      </c>
      <c r="D13" s="32">
        <v>153450</v>
      </c>
      <c r="E13" s="32">
        <v>141990</v>
      </c>
      <c r="F13" s="32">
        <v>37470</v>
      </c>
      <c r="G13" s="32">
        <v>52350</v>
      </c>
      <c r="H13" s="32">
        <v>10520</v>
      </c>
      <c r="I13" s="32">
        <v>5380</v>
      </c>
      <c r="J13" s="32">
        <v>14560</v>
      </c>
      <c r="K13" s="32">
        <v>625870</v>
      </c>
    </row>
    <row r="14" spans="2:11" x14ac:dyDescent="0.35">
      <c r="B14" s="2" t="s">
        <v>12</v>
      </c>
      <c r="C14" s="32">
        <v>32270</v>
      </c>
      <c r="D14" s="32">
        <v>23460</v>
      </c>
      <c r="E14" s="32">
        <v>16130</v>
      </c>
      <c r="F14" s="32">
        <v>3000</v>
      </c>
      <c r="G14" s="32">
        <v>6980</v>
      </c>
      <c r="H14" s="32">
        <v>2670</v>
      </c>
      <c r="I14" s="34">
        <v>220</v>
      </c>
      <c r="J14" s="34">
        <v>950</v>
      </c>
      <c r="K14" s="32">
        <v>85610</v>
      </c>
    </row>
    <row r="15" spans="2:11" x14ac:dyDescent="0.35">
      <c r="B15" s="2" t="s">
        <v>14</v>
      </c>
      <c r="C15" s="32">
        <v>104140</v>
      </c>
      <c r="D15" s="32">
        <v>74930</v>
      </c>
      <c r="E15" s="32">
        <v>75860</v>
      </c>
      <c r="F15" s="32">
        <v>29400</v>
      </c>
      <c r="G15" s="32">
        <v>26810</v>
      </c>
      <c r="H15" s="32">
        <v>6070</v>
      </c>
      <c r="I15" s="32">
        <v>3180</v>
      </c>
      <c r="J15" s="32">
        <v>9810</v>
      </c>
      <c r="K15" s="32">
        <v>329990</v>
      </c>
    </row>
    <row r="16" spans="2:11" ht="16.5" x14ac:dyDescent="0.35">
      <c r="B16" s="8" t="s">
        <v>85</v>
      </c>
      <c r="C16" s="36">
        <v>308210</v>
      </c>
      <c r="D16" s="36">
        <v>225060</v>
      </c>
      <c r="E16" s="36">
        <v>208160</v>
      </c>
      <c r="F16" s="36">
        <v>60970</v>
      </c>
      <c r="G16" s="36">
        <v>75840</v>
      </c>
      <c r="H16" s="36">
        <v>16530</v>
      </c>
      <c r="I16" s="36">
        <v>7670</v>
      </c>
      <c r="J16" s="36">
        <v>22040</v>
      </c>
      <c r="K16" s="36">
        <v>922740</v>
      </c>
    </row>
    <row r="17" spans="2:14" x14ac:dyDescent="0.35">
      <c r="B17" s="2" t="s">
        <v>13</v>
      </c>
      <c r="C17" s="32"/>
      <c r="D17" s="32"/>
      <c r="E17" s="32"/>
      <c r="F17" s="32"/>
      <c r="G17" s="32"/>
      <c r="H17" s="32"/>
      <c r="I17" s="32"/>
      <c r="J17" s="32"/>
      <c r="K17" s="32">
        <v>1060</v>
      </c>
    </row>
    <row r="18" spans="2:14" x14ac:dyDescent="0.35">
      <c r="B18" s="8" t="s">
        <v>84</v>
      </c>
      <c r="C18" s="32"/>
      <c r="D18" s="32"/>
      <c r="E18" s="32"/>
      <c r="F18" s="32"/>
      <c r="G18" s="32"/>
      <c r="H18" s="32"/>
      <c r="I18" s="32"/>
      <c r="J18" s="32"/>
      <c r="K18" s="36">
        <v>923390</v>
      </c>
    </row>
    <row r="19" spans="2:14" ht="15" customHeight="1" x14ac:dyDescent="0.35">
      <c r="B19" s="6" t="s">
        <v>86</v>
      </c>
      <c r="C19" s="6"/>
      <c r="D19" s="6"/>
      <c r="E19" s="6"/>
      <c r="F19" s="6"/>
      <c r="G19" s="6"/>
      <c r="H19" s="6"/>
      <c r="I19" s="6"/>
      <c r="J19" s="6"/>
      <c r="K19" s="6"/>
      <c r="L19" s="6"/>
      <c r="M19" s="6"/>
      <c r="N19" s="6"/>
    </row>
    <row r="20" spans="2:14" ht="15" customHeight="1" x14ac:dyDescent="0.35">
      <c r="B20" s="6" t="s">
        <v>59</v>
      </c>
      <c r="C20" s="6"/>
      <c r="D20" s="6"/>
      <c r="E20" s="6"/>
      <c r="F20" s="6"/>
      <c r="G20" s="6"/>
      <c r="H20" s="6"/>
      <c r="I20" s="6"/>
      <c r="J20" s="6"/>
      <c r="K20" s="6"/>
      <c r="L20" s="6"/>
      <c r="M20" s="6"/>
      <c r="N20" s="6"/>
    </row>
    <row r="21" spans="2:14" ht="15" customHeight="1" x14ac:dyDescent="0.35">
      <c r="B21" s="14" t="s">
        <v>79</v>
      </c>
      <c r="C21" s="6"/>
      <c r="D21" s="6"/>
      <c r="E21" s="6"/>
      <c r="F21" s="6"/>
      <c r="G21" s="6"/>
      <c r="H21" s="6"/>
      <c r="I21" s="6"/>
      <c r="J21" s="6"/>
      <c r="K21" s="6"/>
      <c r="L21" s="6"/>
      <c r="M21" s="6"/>
      <c r="N21" s="6"/>
    </row>
    <row r="22" spans="2:14" ht="15" customHeight="1" x14ac:dyDescent="0.35">
      <c r="B22" s="6" t="s">
        <v>80</v>
      </c>
      <c r="C22" s="6"/>
      <c r="D22" s="6"/>
      <c r="E22" s="6"/>
      <c r="F22" s="6"/>
      <c r="G22" s="6"/>
      <c r="H22" s="6"/>
      <c r="I22" s="6"/>
      <c r="J22" s="6"/>
      <c r="K22" s="6"/>
      <c r="L22" s="6"/>
      <c r="M22" s="6"/>
      <c r="N22" s="6"/>
    </row>
    <row r="23" spans="2:14" x14ac:dyDescent="0.35">
      <c r="B23" s="6" t="s">
        <v>51</v>
      </c>
    </row>
    <row r="24" spans="2:14" x14ac:dyDescent="0.35">
      <c r="B24" s="6"/>
    </row>
    <row r="25" spans="2:14" x14ac:dyDescent="0.35">
      <c r="B25" s="6"/>
    </row>
    <row r="26" spans="2:14" ht="15" customHeight="1" x14ac:dyDescent="0.35">
      <c r="B26" s="24" t="s">
        <v>70</v>
      </c>
    </row>
    <row r="27" spans="2:14" ht="29" x14ac:dyDescent="0.35">
      <c r="B27" s="28" t="s">
        <v>0</v>
      </c>
      <c r="C27" s="54" t="s">
        <v>431</v>
      </c>
      <c r="D27" s="54" t="s">
        <v>430</v>
      </c>
      <c r="E27" s="54" t="s">
        <v>432</v>
      </c>
      <c r="F27" s="54" t="s">
        <v>433</v>
      </c>
      <c r="G27" s="54" t="s">
        <v>20</v>
      </c>
    </row>
    <row r="28" spans="2:14" x14ac:dyDescent="0.35">
      <c r="B28" s="52" t="s">
        <v>11</v>
      </c>
      <c r="C28" s="23">
        <v>480380</v>
      </c>
      <c r="D28" s="23">
        <v>101140</v>
      </c>
      <c r="E28" s="23">
        <v>38850</v>
      </c>
      <c r="F28" s="23">
        <v>7310</v>
      </c>
      <c r="G28" s="23">
        <v>625870</v>
      </c>
    </row>
    <row r="29" spans="2:14" x14ac:dyDescent="0.35">
      <c r="B29" s="52" t="s">
        <v>12</v>
      </c>
      <c r="C29" s="32">
        <v>62590</v>
      </c>
      <c r="D29" s="32">
        <v>16450</v>
      </c>
      <c r="E29" s="32">
        <v>6620</v>
      </c>
      <c r="F29" s="34">
        <v>510</v>
      </c>
      <c r="G29" s="32">
        <v>85610</v>
      </c>
    </row>
    <row r="30" spans="2:14" x14ac:dyDescent="0.35">
      <c r="B30" s="52" t="s">
        <v>14</v>
      </c>
      <c r="C30" s="32">
        <v>274270</v>
      </c>
      <c r="D30" s="32">
        <v>38850</v>
      </c>
      <c r="E30" s="32">
        <v>15700</v>
      </c>
      <c r="F30" s="32">
        <v>1770</v>
      </c>
      <c r="G30" s="32">
        <v>329990</v>
      </c>
    </row>
    <row r="31" spans="2:14" ht="16.5" x14ac:dyDescent="0.35">
      <c r="B31" s="53" t="s">
        <v>85</v>
      </c>
      <c r="C31" s="36">
        <v>723540</v>
      </c>
      <c r="D31" s="36">
        <v>141580</v>
      </c>
      <c r="E31" s="36">
        <v>55100</v>
      </c>
      <c r="F31" s="36">
        <v>8840</v>
      </c>
      <c r="G31" s="36">
        <v>922740</v>
      </c>
    </row>
    <row r="32" spans="2:14" x14ac:dyDescent="0.35">
      <c r="B32" s="2" t="s">
        <v>13</v>
      </c>
      <c r="C32" s="55"/>
      <c r="D32" s="55"/>
      <c r="E32" s="55"/>
      <c r="F32" s="56"/>
      <c r="G32" s="32">
        <v>1060</v>
      </c>
    </row>
    <row r="33" spans="2:11" x14ac:dyDescent="0.35">
      <c r="B33" s="8" t="s">
        <v>84</v>
      </c>
      <c r="C33" s="50"/>
      <c r="D33" s="50"/>
      <c r="E33" s="50"/>
      <c r="F33" s="22"/>
      <c r="G33" s="36">
        <v>923390</v>
      </c>
    </row>
    <row r="34" spans="2:11" x14ac:dyDescent="0.35">
      <c r="B34" s="6" t="s">
        <v>86</v>
      </c>
      <c r="C34" s="51"/>
      <c r="D34" s="51"/>
      <c r="E34" s="51"/>
    </row>
    <row r="35" spans="2:11" x14ac:dyDescent="0.35">
      <c r="B35" s="6" t="s">
        <v>59</v>
      </c>
      <c r="C35" s="51"/>
      <c r="D35" s="51"/>
      <c r="E35" s="51"/>
    </row>
    <row r="36" spans="2:11" x14ac:dyDescent="0.35">
      <c r="B36" s="6" t="s">
        <v>434</v>
      </c>
    </row>
    <row r="37" spans="2:11" x14ac:dyDescent="0.35">
      <c r="B37" s="6" t="s">
        <v>435</v>
      </c>
    </row>
    <row r="38" spans="2:11" x14ac:dyDescent="0.35">
      <c r="B38" s="6" t="s">
        <v>51</v>
      </c>
    </row>
    <row r="39" spans="2:11" x14ac:dyDescent="0.35">
      <c r="B39" s="6"/>
    </row>
    <row r="41" spans="2:11" ht="15" customHeight="1" x14ac:dyDescent="0.35">
      <c r="B41" s="24" t="s">
        <v>71</v>
      </c>
    </row>
    <row r="42" spans="2:11" x14ac:dyDescent="0.35">
      <c r="B42" s="28" t="s">
        <v>0</v>
      </c>
      <c r="C42" s="28" t="s">
        <v>32</v>
      </c>
      <c r="D42" s="28" t="s">
        <v>33</v>
      </c>
      <c r="E42" s="28" t="s">
        <v>34</v>
      </c>
      <c r="F42" s="28" t="s">
        <v>35</v>
      </c>
      <c r="G42" s="28" t="s">
        <v>61</v>
      </c>
    </row>
    <row r="43" spans="2:11" x14ac:dyDescent="0.35">
      <c r="B43" s="2" t="s">
        <v>18</v>
      </c>
      <c r="C43" s="4">
        <v>23790</v>
      </c>
      <c r="D43" s="4">
        <v>23530</v>
      </c>
      <c r="E43" s="4">
        <v>23750</v>
      </c>
      <c r="F43" s="3">
        <v>35320</v>
      </c>
      <c r="G43" s="38">
        <v>35700</v>
      </c>
    </row>
    <row r="44" spans="2:11" x14ac:dyDescent="0.35">
      <c r="B44" s="6" t="s">
        <v>51</v>
      </c>
    </row>
    <row r="45" spans="2:11" x14ac:dyDescent="0.35">
      <c r="B45" s="6"/>
    </row>
    <row r="47" spans="2:11" ht="15" customHeight="1" x14ac:dyDescent="0.35">
      <c r="B47" s="25" t="s">
        <v>72</v>
      </c>
      <c r="C47" s="1"/>
      <c r="D47" s="1"/>
      <c r="E47" s="1"/>
      <c r="F47" s="1"/>
      <c r="G47" s="1"/>
      <c r="H47" s="1"/>
      <c r="I47" s="1"/>
      <c r="J47" s="1"/>
      <c r="K47" s="1"/>
    </row>
    <row r="48" spans="2:11" x14ac:dyDescent="0.35">
      <c r="B48" s="28" t="s">
        <v>0</v>
      </c>
      <c r="C48" s="35" t="s">
        <v>2</v>
      </c>
      <c r="D48" s="35" t="s">
        <v>3</v>
      </c>
      <c r="E48" s="35" t="s">
        <v>4</v>
      </c>
      <c r="F48" s="35" t="s">
        <v>5</v>
      </c>
      <c r="G48" s="35" t="s">
        <v>6</v>
      </c>
      <c r="H48" s="35" t="s">
        <v>7</v>
      </c>
      <c r="I48" s="35" t="s">
        <v>8</v>
      </c>
      <c r="J48" s="35" t="s">
        <v>9</v>
      </c>
      <c r="K48" s="35" t="s">
        <v>20</v>
      </c>
    </row>
    <row r="49" spans="2:11" x14ac:dyDescent="0.35">
      <c r="B49" s="2" t="s">
        <v>11</v>
      </c>
      <c r="C49" s="32">
        <v>10010</v>
      </c>
      <c r="D49" s="32">
        <v>2450</v>
      </c>
      <c r="E49" s="32">
        <v>9350</v>
      </c>
      <c r="F49" s="32">
        <v>1100</v>
      </c>
      <c r="G49" s="32">
        <v>1990</v>
      </c>
      <c r="H49" s="34">
        <v>880</v>
      </c>
      <c r="I49" s="34">
        <v>860</v>
      </c>
      <c r="J49" s="34">
        <v>340</v>
      </c>
      <c r="K49" s="32">
        <v>26910</v>
      </c>
    </row>
    <row r="50" spans="2:11" x14ac:dyDescent="0.35">
      <c r="B50" s="2" t="s">
        <v>12</v>
      </c>
      <c r="C50" s="32">
        <v>1450</v>
      </c>
      <c r="D50" s="34">
        <v>220</v>
      </c>
      <c r="E50" s="34">
        <v>840</v>
      </c>
      <c r="F50" s="34">
        <v>90</v>
      </c>
      <c r="G50" s="34">
        <v>160</v>
      </c>
      <c r="H50" s="34">
        <v>280</v>
      </c>
      <c r="I50" s="34">
        <v>20</v>
      </c>
      <c r="J50" s="34">
        <v>30</v>
      </c>
      <c r="K50" s="32">
        <v>3090</v>
      </c>
    </row>
    <row r="51" spans="2:11" x14ac:dyDescent="0.35">
      <c r="B51" s="2" t="s">
        <v>14</v>
      </c>
      <c r="C51" s="32">
        <v>2960</v>
      </c>
      <c r="D51" s="34">
        <v>860</v>
      </c>
      <c r="E51" s="32">
        <v>3190</v>
      </c>
      <c r="F51" s="34">
        <v>640</v>
      </c>
      <c r="G51" s="34">
        <v>680</v>
      </c>
      <c r="H51" s="34">
        <v>400</v>
      </c>
      <c r="I51" s="34">
        <v>420</v>
      </c>
      <c r="J51" s="34">
        <v>200</v>
      </c>
      <c r="K51" s="32">
        <v>9320</v>
      </c>
    </row>
    <row r="52" spans="2:11" ht="16.5" x14ac:dyDescent="0.35">
      <c r="B52" s="8" t="s">
        <v>85</v>
      </c>
      <c r="C52" s="36">
        <v>13090</v>
      </c>
      <c r="D52" s="36">
        <v>3230</v>
      </c>
      <c r="E52" s="36">
        <v>12220</v>
      </c>
      <c r="F52" s="36">
        <v>1660</v>
      </c>
      <c r="G52" s="36">
        <v>2570</v>
      </c>
      <c r="H52" s="36">
        <v>1350</v>
      </c>
      <c r="I52" s="36">
        <v>1160</v>
      </c>
      <c r="J52" s="37">
        <v>500</v>
      </c>
      <c r="K52" s="36">
        <v>35670</v>
      </c>
    </row>
    <row r="53" spans="2:11" x14ac:dyDescent="0.35">
      <c r="B53" s="2" t="s">
        <v>13</v>
      </c>
      <c r="C53" s="32"/>
      <c r="D53" s="32"/>
      <c r="E53" s="32"/>
      <c r="F53" s="32"/>
      <c r="G53" s="32"/>
      <c r="H53" s="32"/>
      <c r="I53" s="32"/>
      <c r="J53" s="32"/>
      <c r="K53" s="34">
        <v>50</v>
      </c>
    </row>
    <row r="54" spans="2:11" x14ac:dyDescent="0.35">
      <c r="B54" s="8" t="s">
        <v>84</v>
      </c>
      <c r="C54" s="32"/>
      <c r="D54" s="32"/>
      <c r="E54" s="32"/>
      <c r="F54" s="32"/>
      <c r="G54" s="32"/>
      <c r="H54" s="32"/>
      <c r="I54" s="32"/>
      <c r="J54" s="34"/>
      <c r="K54" s="39">
        <v>35700</v>
      </c>
    </row>
    <row r="55" spans="2:11" x14ac:dyDescent="0.35">
      <c r="B55" s="6" t="s">
        <v>86</v>
      </c>
    </row>
    <row r="56" spans="2:11" x14ac:dyDescent="0.35">
      <c r="B56" s="6" t="s">
        <v>59</v>
      </c>
    </row>
    <row r="57" spans="2:11" x14ac:dyDescent="0.35">
      <c r="B57" s="14" t="s">
        <v>79</v>
      </c>
    </row>
    <row r="58" spans="2:11" x14ac:dyDescent="0.35">
      <c r="B58" s="6" t="s">
        <v>80</v>
      </c>
    </row>
    <row r="59" spans="2:11" x14ac:dyDescent="0.35">
      <c r="B59" s="6" t="s">
        <v>51</v>
      </c>
    </row>
    <row r="60" spans="2:11" x14ac:dyDescent="0.35">
      <c r="B60" s="6"/>
    </row>
    <row r="62" spans="2:11" ht="15" customHeight="1" x14ac:dyDescent="0.35">
      <c r="B62" s="24" t="s">
        <v>73</v>
      </c>
    </row>
    <row r="63" spans="2:11" ht="29" x14ac:dyDescent="0.35">
      <c r="B63" s="28" t="s">
        <v>0</v>
      </c>
      <c r="C63" s="54" t="s">
        <v>431</v>
      </c>
      <c r="D63" s="54" t="s">
        <v>430</v>
      </c>
      <c r="E63" s="54" t="s">
        <v>432</v>
      </c>
      <c r="F63" s="54" t="s">
        <v>433</v>
      </c>
      <c r="G63" s="54" t="s">
        <v>20</v>
      </c>
    </row>
    <row r="64" spans="2:11" x14ac:dyDescent="0.35">
      <c r="B64" s="52" t="s">
        <v>11</v>
      </c>
      <c r="C64" s="23">
        <v>13100</v>
      </c>
      <c r="D64" s="23">
        <v>7780</v>
      </c>
      <c r="E64" s="23">
        <v>4680</v>
      </c>
      <c r="F64" s="23">
        <v>1490</v>
      </c>
      <c r="G64" s="23">
        <v>26910</v>
      </c>
    </row>
    <row r="65" spans="2:7" x14ac:dyDescent="0.35">
      <c r="B65" s="52" t="s">
        <v>12</v>
      </c>
      <c r="C65" s="32">
        <v>1340</v>
      </c>
      <c r="D65" s="32">
        <v>1130</v>
      </c>
      <c r="E65" s="34">
        <v>580</v>
      </c>
      <c r="F65" s="34">
        <v>70</v>
      </c>
      <c r="G65" s="32">
        <v>3090</v>
      </c>
    </row>
    <row r="66" spans="2:7" x14ac:dyDescent="0.35">
      <c r="B66" s="52" t="s">
        <v>14</v>
      </c>
      <c r="C66" s="32">
        <v>5480</v>
      </c>
      <c r="D66" s="32">
        <v>2100</v>
      </c>
      <c r="E66" s="32">
        <v>1420</v>
      </c>
      <c r="F66" s="34">
        <v>350</v>
      </c>
      <c r="G66" s="32">
        <v>9320</v>
      </c>
    </row>
    <row r="67" spans="2:7" ht="16.5" x14ac:dyDescent="0.35">
      <c r="B67" s="53" t="s">
        <v>85</v>
      </c>
      <c r="C67" s="36">
        <v>18030</v>
      </c>
      <c r="D67" s="36">
        <v>10110</v>
      </c>
      <c r="E67" s="36">
        <v>6120</v>
      </c>
      <c r="F67" s="36">
        <v>1780</v>
      </c>
      <c r="G67" s="36">
        <v>35670</v>
      </c>
    </row>
    <row r="68" spans="2:7" x14ac:dyDescent="0.35">
      <c r="B68" s="2" t="s">
        <v>13</v>
      </c>
      <c r="C68" s="55"/>
      <c r="D68" s="55"/>
      <c r="E68" s="55"/>
      <c r="F68" s="56"/>
      <c r="G68" s="34">
        <v>50</v>
      </c>
    </row>
    <row r="69" spans="2:7" x14ac:dyDescent="0.35">
      <c r="B69" s="8" t="s">
        <v>84</v>
      </c>
      <c r="C69" s="50"/>
      <c r="D69" s="50"/>
      <c r="E69" s="50"/>
      <c r="F69" s="22"/>
      <c r="G69" s="39">
        <v>35700</v>
      </c>
    </row>
    <row r="70" spans="2:7" x14ac:dyDescent="0.35">
      <c r="B70" s="6" t="s">
        <v>86</v>
      </c>
      <c r="C70" s="51"/>
      <c r="D70" s="51"/>
      <c r="E70" s="51"/>
    </row>
    <row r="71" spans="2:7" x14ac:dyDescent="0.35">
      <c r="B71" s="6" t="s">
        <v>59</v>
      </c>
      <c r="C71" s="51"/>
      <c r="D71" s="51"/>
      <c r="E71" s="51"/>
    </row>
    <row r="72" spans="2:7" x14ac:dyDescent="0.35">
      <c r="B72" s="6" t="s">
        <v>434</v>
      </c>
    </row>
    <row r="73" spans="2:7" x14ac:dyDescent="0.35">
      <c r="B73" s="6" t="s">
        <v>435</v>
      </c>
    </row>
    <row r="74" spans="2:7" x14ac:dyDescent="0.35">
      <c r="B74" s="6" t="s">
        <v>51</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K25"/>
  <sheetViews>
    <sheetView workbookViewId="0">
      <selection activeCell="C30" sqref="C30"/>
    </sheetView>
  </sheetViews>
  <sheetFormatPr defaultColWidth="9.1796875" defaultRowHeight="14.5" x14ac:dyDescent="0.35"/>
  <cols>
    <col min="2" max="2" width="24.1796875" customWidth="1"/>
    <col min="3" max="17" width="12.7265625" customWidth="1"/>
  </cols>
  <sheetData>
    <row r="2" spans="2:11" ht="18.5" x14ac:dyDescent="0.45">
      <c r="B2" s="7" t="s">
        <v>30</v>
      </c>
    </row>
    <row r="5" spans="2:11" ht="15" customHeight="1" x14ac:dyDescent="0.35">
      <c r="B5" s="24" t="s">
        <v>74</v>
      </c>
    </row>
    <row r="6" spans="2:11" x14ac:dyDescent="0.35">
      <c r="B6" s="28" t="s">
        <v>0</v>
      </c>
      <c r="C6" s="35" t="s">
        <v>2</v>
      </c>
      <c r="D6" s="35" t="s">
        <v>3</v>
      </c>
      <c r="E6" s="35" t="s">
        <v>4</v>
      </c>
      <c r="F6" s="35" t="s">
        <v>5</v>
      </c>
      <c r="G6" s="35" t="s">
        <v>6</v>
      </c>
      <c r="H6" s="35" t="s">
        <v>7</v>
      </c>
      <c r="I6" s="35" t="s">
        <v>8</v>
      </c>
      <c r="J6" s="35" t="s">
        <v>9</v>
      </c>
      <c r="K6" s="35" t="s">
        <v>10</v>
      </c>
    </row>
    <row r="7" spans="2:11" x14ac:dyDescent="0.35">
      <c r="B7" s="2" t="s">
        <v>11</v>
      </c>
      <c r="C7" s="32">
        <v>3158</v>
      </c>
      <c r="D7" s="32">
        <v>1585</v>
      </c>
      <c r="E7" s="32">
        <v>1597</v>
      </c>
      <c r="F7" s="34">
        <v>415</v>
      </c>
      <c r="G7" s="34">
        <v>664</v>
      </c>
      <c r="H7" s="34">
        <v>132</v>
      </c>
      <c r="I7" s="34">
        <v>106</v>
      </c>
      <c r="J7" s="34">
        <v>169</v>
      </c>
      <c r="K7" s="32">
        <v>7826</v>
      </c>
    </row>
    <row r="8" spans="2:11" x14ac:dyDescent="0.35">
      <c r="B8" s="2" t="s">
        <v>12</v>
      </c>
      <c r="C8" s="34">
        <v>171</v>
      </c>
      <c r="D8" s="34">
        <v>151</v>
      </c>
      <c r="E8" s="34">
        <v>108</v>
      </c>
      <c r="F8" s="34">
        <v>12</v>
      </c>
      <c r="G8" s="34">
        <v>32</v>
      </c>
      <c r="H8" s="34">
        <v>12</v>
      </c>
      <c r="I8" s="34" t="s">
        <v>87</v>
      </c>
      <c r="J8" s="34">
        <v>9</v>
      </c>
      <c r="K8" s="34">
        <v>499</v>
      </c>
    </row>
    <row r="9" spans="2:11" x14ac:dyDescent="0.35">
      <c r="B9" s="2" t="s">
        <v>14</v>
      </c>
      <c r="C9" s="32">
        <v>1353</v>
      </c>
      <c r="D9" s="32">
        <v>1242</v>
      </c>
      <c r="E9" s="34">
        <v>772</v>
      </c>
      <c r="F9" s="34">
        <v>376</v>
      </c>
      <c r="G9" s="34">
        <v>475</v>
      </c>
      <c r="H9" s="34">
        <v>132</v>
      </c>
      <c r="I9" s="34">
        <v>62</v>
      </c>
      <c r="J9" s="34">
        <v>100</v>
      </c>
      <c r="K9" s="32">
        <v>4512</v>
      </c>
    </row>
    <row r="10" spans="2:11" ht="16.5" x14ac:dyDescent="0.35">
      <c r="B10" s="8" t="s">
        <v>83</v>
      </c>
      <c r="C10" s="36">
        <v>4682</v>
      </c>
      <c r="D10" s="36">
        <v>2978</v>
      </c>
      <c r="E10" s="36">
        <v>2477</v>
      </c>
      <c r="F10" s="37">
        <v>803</v>
      </c>
      <c r="G10" s="36">
        <v>1171</v>
      </c>
      <c r="H10" s="37">
        <v>276</v>
      </c>
      <c r="I10" s="37">
        <v>172</v>
      </c>
      <c r="J10" s="37">
        <v>278</v>
      </c>
      <c r="K10" s="36">
        <v>12837</v>
      </c>
    </row>
    <row r="11" spans="2:11" x14ac:dyDescent="0.35">
      <c r="B11" s="2" t="s">
        <v>13</v>
      </c>
      <c r="C11" s="32"/>
      <c r="D11" s="32"/>
      <c r="E11" s="32"/>
      <c r="F11" s="34"/>
      <c r="G11" s="32"/>
      <c r="H11" s="34"/>
      <c r="I11" s="34"/>
      <c r="J11" s="34"/>
      <c r="K11" s="34">
        <v>49</v>
      </c>
    </row>
    <row r="12" spans="2:11" x14ac:dyDescent="0.35">
      <c r="B12" s="8" t="s">
        <v>82</v>
      </c>
      <c r="C12" s="32"/>
      <c r="D12" s="32"/>
      <c r="E12" s="32"/>
      <c r="F12" s="34"/>
      <c r="G12" s="32"/>
      <c r="H12" s="34"/>
      <c r="I12" s="34"/>
      <c r="J12" s="34"/>
      <c r="K12" s="36">
        <v>12886</v>
      </c>
    </row>
    <row r="13" spans="2:11" x14ac:dyDescent="0.35">
      <c r="B13" s="6" t="s">
        <v>86</v>
      </c>
    </row>
    <row r="14" spans="2:11" x14ac:dyDescent="0.35">
      <c r="B14" s="6" t="s">
        <v>59</v>
      </c>
    </row>
    <row r="15" spans="2:11" x14ac:dyDescent="0.35">
      <c r="B15" s="6" t="s">
        <v>80</v>
      </c>
    </row>
    <row r="16" spans="2:11" x14ac:dyDescent="0.35">
      <c r="B16" s="6" t="s">
        <v>51</v>
      </c>
    </row>
    <row r="19" spans="2:6" ht="15.5" x14ac:dyDescent="0.35">
      <c r="B19" s="24" t="s">
        <v>439</v>
      </c>
    </row>
    <row r="20" spans="2:6" ht="30.75" customHeight="1" x14ac:dyDescent="0.35">
      <c r="B20" s="28" t="s">
        <v>0</v>
      </c>
      <c r="C20" s="57" t="s">
        <v>440</v>
      </c>
      <c r="D20" s="57" t="s">
        <v>441</v>
      </c>
      <c r="E20" s="57" t="s">
        <v>443</v>
      </c>
      <c r="F20" s="57" t="s">
        <v>442</v>
      </c>
    </row>
    <row r="21" spans="2:6" x14ac:dyDescent="0.35">
      <c r="B21" s="2" t="s">
        <v>11</v>
      </c>
      <c r="C21" s="58">
        <v>11.77</v>
      </c>
      <c r="D21" s="32">
        <v>6965</v>
      </c>
      <c r="E21" s="34">
        <v>861</v>
      </c>
      <c r="F21" s="32">
        <v>7826</v>
      </c>
    </row>
    <row r="22" spans="2:6" x14ac:dyDescent="0.35">
      <c r="B22" s="2" t="s">
        <v>12</v>
      </c>
      <c r="C22" s="58">
        <v>10.9</v>
      </c>
      <c r="D22" s="34">
        <v>396</v>
      </c>
      <c r="E22" s="34">
        <v>103</v>
      </c>
      <c r="F22" s="34">
        <v>499</v>
      </c>
    </row>
    <row r="23" spans="2:6" x14ac:dyDescent="0.35">
      <c r="B23" s="2" t="s">
        <v>14</v>
      </c>
      <c r="C23" s="58">
        <v>10.29</v>
      </c>
      <c r="D23" s="32">
        <v>3842</v>
      </c>
      <c r="E23" s="34">
        <v>670</v>
      </c>
      <c r="F23" s="32">
        <v>4512</v>
      </c>
    </row>
    <row r="24" spans="2:6" x14ac:dyDescent="0.35">
      <c r="B24" s="6" t="s">
        <v>444</v>
      </c>
    </row>
    <row r="25" spans="2:6" x14ac:dyDescent="0.35">
      <c r="B25" s="6" t="s">
        <v>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G20"/>
  <sheetViews>
    <sheetView workbookViewId="0">
      <selection activeCell="B18" sqref="B18"/>
    </sheetView>
  </sheetViews>
  <sheetFormatPr defaultColWidth="9.1796875" defaultRowHeight="14.5" x14ac:dyDescent="0.35"/>
  <cols>
    <col min="2" max="2" width="31.81640625" customWidth="1"/>
    <col min="3" max="8" width="11.7265625" customWidth="1"/>
  </cols>
  <sheetData>
    <row r="2" spans="2:7" ht="18.5" x14ac:dyDescent="0.45">
      <c r="B2" s="7" t="s">
        <v>31</v>
      </c>
    </row>
    <row r="5" spans="2:7" ht="15.5" x14ac:dyDescent="0.35">
      <c r="B5" s="24" t="s">
        <v>438</v>
      </c>
    </row>
    <row r="6" spans="2:7" ht="16.5" x14ac:dyDescent="0.35">
      <c r="B6" s="28" t="s">
        <v>0</v>
      </c>
      <c r="C6" s="28" t="s">
        <v>32</v>
      </c>
      <c r="D6" s="28" t="s">
        <v>33</v>
      </c>
      <c r="E6" s="28" t="s">
        <v>34</v>
      </c>
      <c r="F6" s="28" t="s">
        <v>436</v>
      </c>
      <c r="G6" s="28" t="s">
        <v>437</v>
      </c>
    </row>
    <row r="7" spans="2:7" x14ac:dyDescent="0.35">
      <c r="B7" s="2" t="s">
        <v>19</v>
      </c>
      <c r="C7" s="5">
        <v>9</v>
      </c>
      <c r="D7" s="5">
        <v>9.1</v>
      </c>
      <c r="E7" s="5">
        <v>9.25</v>
      </c>
      <c r="F7" s="5">
        <v>9.5</v>
      </c>
      <c r="G7" s="40">
        <v>9.5500000000000007</v>
      </c>
    </row>
    <row r="8" spans="2:7" x14ac:dyDescent="0.35">
      <c r="B8" s="6" t="s">
        <v>86</v>
      </c>
      <c r="C8" s="42"/>
      <c r="D8" s="42"/>
      <c r="E8" s="42"/>
      <c r="F8" s="42"/>
      <c r="G8" s="41"/>
    </row>
    <row r="9" spans="2:7" x14ac:dyDescent="0.35">
      <c r="B9" s="6" t="s">
        <v>51</v>
      </c>
    </row>
    <row r="10" spans="2:7" x14ac:dyDescent="0.35">
      <c r="B10" s="6"/>
    </row>
    <row r="12" spans="2:7" ht="15.5" x14ac:dyDescent="0.35">
      <c r="B12" s="24" t="s">
        <v>76</v>
      </c>
    </row>
    <row r="13" spans="2:7" ht="29" x14ac:dyDescent="0.35">
      <c r="B13" s="30"/>
      <c r="C13" s="29" t="s">
        <v>21</v>
      </c>
    </row>
    <row r="14" spans="2:7" x14ac:dyDescent="0.35">
      <c r="B14" s="2" t="s">
        <v>11</v>
      </c>
      <c r="C14" s="40">
        <v>9.8000000000000007</v>
      </c>
    </row>
    <row r="15" spans="2:7" x14ac:dyDescent="0.35">
      <c r="B15" s="2" t="s">
        <v>12</v>
      </c>
      <c r="C15" s="40">
        <v>10.15</v>
      </c>
    </row>
    <row r="16" spans="2:7" x14ac:dyDescent="0.35">
      <c r="B16" s="2" t="s">
        <v>14</v>
      </c>
      <c r="C16" s="40">
        <v>7.3</v>
      </c>
    </row>
    <row r="17" spans="2:3" ht="16.5" x14ac:dyDescent="0.35">
      <c r="B17" s="44" t="s">
        <v>446</v>
      </c>
      <c r="C17" s="43">
        <v>9.5500000000000007</v>
      </c>
    </row>
    <row r="18" spans="2:3" x14ac:dyDescent="0.35">
      <c r="B18" s="6" t="s">
        <v>86</v>
      </c>
      <c r="C18" s="61"/>
    </row>
    <row r="19" spans="2:3" x14ac:dyDescent="0.35">
      <c r="B19" s="20" t="s">
        <v>88</v>
      </c>
    </row>
    <row r="20" spans="2:3" x14ac:dyDescent="0.35">
      <c r="B20" s="6" t="s">
        <v>51</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D342"/>
  <sheetViews>
    <sheetView workbookViewId="0">
      <selection activeCell="I19" sqref="I19"/>
    </sheetView>
  </sheetViews>
  <sheetFormatPr defaultColWidth="9.1796875" defaultRowHeight="14.5" x14ac:dyDescent="0.35"/>
  <cols>
    <col min="2" max="2" width="17" customWidth="1"/>
    <col min="3" max="3" width="30.453125" customWidth="1"/>
    <col min="4" max="4" width="18.54296875" bestFit="1" customWidth="1"/>
  </cols>
  <sheetData>
    <row r="2" spans="2:4" ht="18.5" x14ac:dyDescent="0.45">
      <c r="B2" s="7" t="s">
        <v>92</v>
      </c>
    </row>
    <row r="4" spans="2:4" ht="15" customHeight="1" x14ac:dyDescent="0.35"/>
    <row r="5" spans="2:4" ht="15.5" x14ac:dyDescent="0.35">
      <c r="B5" s="24" t="s">
        <v>77</v>
      </c>
    </row>
    <row r="6" spans="2:4" x14ac:dyDescent="0.35">
      <c r="B6" s="31" t="s">
        <v>89</v>
      </c>
      <c r="C6" s="31" t="s">
        <v>90</v>
      </c>
      <c r="D6" s="31" t="s">
        <v>91</v>
      </c>
    </row>
    <row r="7" spans="2:4" x14ac:dyDescent="0.35">
      <c r="B7" s="34">
        <v>10102</v>
      </c>
      <c r="C7" s="45" t="s">
        <v>93</v>
      </c>
      <c r="D7" s="32">
        <v>2840</v>
      </c>
    </row>
    <row r="8" spans="2:4" x14ac:dyDescent="0.35">
      <c r="B8" s="34">
        <v>10103</v>
      </c>
      <c r="C8" s="45" t="s">
        <v>94</v>
      </c>
      <c r="D8" s="34">
        <v>690</v>
      </c>
    </row>
    <row r="9" spans="2:4" x14ac:dyDescent="0.35">
      <c r="B9" s="34">
        <v>10104</v>
      </c>
      <c r="C9" s="45" t="s">
        <v>95</v>
      </c>
      <c r="D9" s="32">
        <v>2400</v>
      </c>
    </row>
    <row r="10" spans="2:4" x14ac:dyDescent="0.35">
      <c r="B10" s="34">
        <v>10105</v>
      </c>
      <c r="C10" s="45" t="s">
        <v>96</v>
      </c>
      <c r="D10" s="32">
        <v>1550</v>
      </c>
    </row>
    <row r="11" spans="2:4" x14ac:dyDescent="0.35">
      <c r="B11" s="34">
        <v>10106</v>
      </c>
      <c r="C11" s="45" t="s">
        <v>97</v>
      </c>
      <c r="D11" s="32">
        <v>1740</v>
      </c>
    </row>
    <row r="12" spans="2:4" x14ac:dyDescent="0.35">
      <c r="B12" s="34">
        <v>10201</v>
      </c>
      <c r="C12" s="45" t="s">
        <v>98</v>
      </c>
      <c r="D12" s="32">
        <v>12050</v>
      </c>
    </row>
    <row r="13" spans="2:4" x14ac:dyDescent="0.35">
      <c r="B13" s="34">
        <v>10202</v>
      </c>
      <c r="C13" s="45" t="s">
        <v>99</v>
      </c>
      <c r="D13" s="32">
        <v>9100</v>
      </c>
    </row>
    <row r="14" spans="2:4" x14ac:dyDescent="0.35">
      <c r="B14" s="34">
        <v>10301</v>
      </c>
      <c r="C14" s="45" t="s">
        <v>100</v>
      </c>
      <c r="D14" s="32">
        <v>2210</v>
      </c>
    </row>
    <row r="15" spans="2:4" x14ac:dyDescent="0.35">
      <c r="B15" s="34">
        <v>10302</v>
      </c>
      <c r="C15" s="45" t="s">
        <v>101</v>
      </c>
      <c r="D15" s="32">
        <v>2600</v>
      </c>
    </row>
    <row r="16" spans="2:4" x14ac:dyDescent="0.35">
      <c r="B16" s="34">
        <v>10303</v>
      </c>
      <c r="C16" s="45" t="s">
        <v>102</v>
      </c>
      <c r="D16" s="32">
        <v>1480</v>
      </c>
    </row>
    <row r="17" spans="2:4" x14ac:dyDescent="0.35">
      <c r="B17" s="34">
        <v>10304</v>
      </c>
      <c r="C17" s="45" t="s">
        <v>103</v>
      </c>
      <c r="D17" s="32">
        <v>3020</v>
      </c>
    </row>
    <row r="18" spans="2:4" x14ac:dyDescent="0.35">
      <c r="B18" s="34">
        <v>10401</v>
      </c>
      <c r="C18" s="45" t="s">
        <v>104</v>
      </c>
      <c r="D18" s="32">
        <v>1990</v>
      </c>
    </row>
    <row r="19" spans="2:4" x14ac:dyDescent="0.35">
      <c r="B19" s="34">
        <v>10402</v>
      </c>
      <c r="C19" s="45" t="s">
        <v>105</v>
      </c>
      <c r="D19" s="32">
        <v>5470</v>
      </c>
    </row>
    <row r="20" spans="2:4" x14ac:dyDescent="0.35">
      <c r="B20" s="34">
        <v>10501</v>
      </c>
      <c r="C20" s="45" t="s">
        <v>106</v>
      </c>
      <c r="D20" s="34">
        <v>870</v>
      </c>
    </row>
    <row r="21" spans="2:4" x14ac:dyDescent="0.35">
      <c r="B21" s="34">
        <v>10502</v>
      </c>
      <c r="C21" s="45" t="s">
        <v>107</v>
      </c>
      <c r="D21" s="34">
        <v>410</v>
      </c>
    </row>
    <row r="22" spans="2:4" x14ac:dyDescent="0.35">
      <c r="B22" s="34">
        <v>10503</v>
      </c>
      <c r="C22" s="45" t="s">
        <v>108</v>
      </c>
      <c r="D22" s="32">
        <v>3140</v>
      </c>
    </row>
    <row r="23" spans="2:4" x14ac:dyDescent="0.35">
      <c r="B23" s="34">
        <v>10601</v>
      </c>
      <c r="C23" s="45" t="s">
        <v>109</v>
      </c>
      <c r="D23" s="32">
        <v>3270</v>
      </c>
    </row>
    <row r="24" spans="2:4" x14ac:dyDescent="0.35">
      <c r="B24" s="34">
        <v>10602</v>
      </c>
      <c r="C24" s="45" t="s">
        <v>110</v>
      </c>
      <c r="D24" s="32">
        <v>6710</v>
      </c>
    </row>
    <row r="25" spans="2:4" x14ac:dyDescent="0.35">
      <c r="B25" s="34">
        <v>10603</v>
      </c>
      <c r="C25" s="45" t="s">
        <v>111</v>
      </c>
      <c r="D25" s="32">
        <v>2850</v>
      </c>
    </row>
    <row r="26" spans="2:4" x14ac:dyDescent="0.35">
      <c r="B26" s="34">
        <v>10604</v>
      </c>
      <c r="C26" s="45" t="s">
        <v>112</v>
      </c>
      <c r="D26" s="34">
        <v>910</v>
      </c>
    </row>
    <row r="27" spans="2:4" x14ac:dyDescent="0.35">
      <c r="B27" s="34">
        <v>10701</v>
      </c>
      <c r="C27" s="45" t="s">
        <v>113</v>
      </c>
      <c r="D27" s="32">
        <v>3250</v>
      </c>
    </row>
    <row r="28" spans="2:4" x14ac:dyDescent="0.35">
      <c r="B28" s="34">
        <v>10703</v>
      </c>
      <c r="C28" s="45" t="s">
        <v>114</v>
      </c>
      <c r="D28" s="32">
        <v>5520</v>
      </c>
    </row>
    <row r="29" spans="2:4" x14ac:dyDescent="0.35">
      <c r="B29" s="34">
        <v>10704</v>
      </c>
      <c r="C29" s="45" t="s">
        <v>115</v>
      </c>
      <c r="D29" s="32">
        <v>7070</v>
      </c>
    </row>
    <row r="30" spans="2:4" x14ac:dyDescent="0.35">
      <c r="B30" s="34">
        <v>10801</v>
      </c>
      <c r="C30" s="45" t="s">
        <v>116</v>
      </c>
      <c r="D30" s="32">
        <v>1460</v>
      </c>
    </row>
    <row r="31" spans="2:4" x14ac:dyDescent="0.35">
      <c r="B31" s="34">
        <v>10802</v>
      </c>
      <c r="C31" s="45" t="s">
        <v>117</v>
      </c>
      <c r="D31" s="32">
        <v>1800</v>
      </c>
    </row>
    <row r="32" spans="2:4" x14ac:dyDescent="0.35">
      <c r="B32" s="34">
        <v>10804</v>
      </c>
      <c r="C32" s="45" t="s">
        <v>118</v>
      </c>
      <c r="D32" s="32">
        <v>3840</v>
      </c>
    </row>
    <row r="33" spans="2:4" x14ac:dyDescent="0.35">
      <c r="B33" s="34">
        <v>10805</v>
      </c>
      <c r="C33" s="45" t="s">
        <v>119</v>
      </c>
      <c r="D33" s="32">
        <v>2450</v>
      </c>
    </row>
    <row r="34" spans="2:4" x14ac:dyDescent="0.35">
      <c r="B34" s="34">
        <v>10901</v>
      </c>
      <c r="C34" s="45" t="s">
        <v>120</v>
      </c>
      <c r="D34" s="32">
        <v>4360</v>
      </c>
    </row>
    <row r="35" spans="2:4" x14ac:dyDescent="0.35">
      <c r="B35" s="34">
        <v>10902</v>
      </c>
      <c r="C35" s="45" t="s">
        <v>121</v>
      </c>
      <c r="D35" s="34">
        <v>390</v>
      </c>
    </row>
    <row r="36" spans="2:4" x14ac:dyDescent="0.35">
      <c r="B36" s="34">
        <v>10903</v>
      </c>
      <c r="C36" s="45" t="s">
        <v>122</v>
      </c>
      <c r="D36" s="32">
        <v>1290</v>
      </c>
    </row>
    <row r="37" spans="2:4" x14ac:dyDescent="0.35">
      <c r="B37" s="34">
        <v>11001</v>
      </c>
      <c r="C37" s="45" t="s">
        <v>123</v>
      </c>
      <c r="D37" s="32">
        <v>1250</v>
      </c>
    </row>
    <row r="38" spans="2:4" x14ac:dyDescent="0.35">
      <c r="B38" s="34">
        <v>11002</v>
      </c>
      <c r="C38" s="45" t="s">
        <v>124</v>
      </c>
      <c r="D38" s="32">
        <v>1190</v>
      </c>
    </row>
    <row r="39" spans="2:4" x14ac:dyDescent="0.35">
      <c r="B39" s="34">
        <v>11003</v>
      </c>
      <c r="C39" s="45" t="s">
        <v>125</v>
      </c>
      <c r="D39" s="32">
        <v>1140</v>
      </c>
    </row>
    <row r="40" spans="2:4" x14ac:dyDescent="0.35">
      <c r="B40" s="34">
        <v>11004</v>
      </c>
      <c r="C40" s="45" t="s">
        <v>126</v>
      </c>
      <c r="D40" s="32">
        <v>3900</v>
      </c>
    </row>
    <row r="41" spans="2:4" x14ac:dyDescent="0.35">
      <c r="B41" s="34">
        <v>11101</v>
      </c>
      <c r="C41" s="45" t="s">
        <v>127</v>
      </c>
      <c r="D41" s="32">
        <v>8040</v>
      </c>
    </row>
    <row r="42" spans="2:4" x14ac:dyDescent="0.35">
      <c r="B42" s="34">
        <v>11102</v>
      </c>
      <c r="C42" s="45" t="s">
        <v>128</v>
      </c>
      <c r="D42" s="32">
        <v>4160</v>
      </c>
    </row>
    <row r="43" spans="2:4" x14ac:dyDescent="0.35">
      <c r="B43" s="34">
        <v>11103</v>
      </c>
      <c r="C43" s="45" t="s">
        <v>129</v>
      </c>
      <c r="D43" s="32">
        <v>11490</v>
      </c>
    </row>
    <row r="44" spans="2:4" x14ac:dyDescent="0.35">
      <c r="B44" s="34">
        <v>11201</v>
      </c>
      <c r="C44" s="45" t="s">
        <v>130</v>
      </c>
      <c r="D44" s="32">
        <v>3320</v>
      </c>
    </row>
    <row r="45" spans="2:4" x14ac:dyDescent="0.35">
      <c r="B45" s="34">
        <v>11202</v>
      </c>
      <c r="C45" s="45" t="s">
        <v>131</v>
      </c>
      <c r="D45" s="32">
        <v>3840</v>
      </c>
    </row>
    <row r="46" spans="2:4" x14ac:dyDescent="0.35">
      <c r="B46" s="34">
        <v>11203</v>
      </c>
      <c r="C46" s="45" t="s">
        <v>132</v>
      </c>
      <c r="D46" s="32">
        <v>4360</v>
      </c>
    </row>
    <row r="47" spans="2:4" x14ac:dyDescent="0.35">
      <c r="B47" s="34">
        <v>11301</v>
      </c>
      <c r="C47" s="45" t="s">
        <v>133</v>
      </c>
      <c r="D47" s="32">
        <v>2010</v>
      </c>
    </row>
    <row r="48" spans="2:4" x14ac:dyDescent="0.35">
      <c r="B48" s="34">
        <v>11302</v>
      </c>
      <c r="C48" s="45" t="s">
        <v>134</v>
      </c>
      <c r="D48" s="34">
        <v>700</v>
      </c>
    </row>
    <row r="49" spans="2:4" x14ac:dyDescent="0.35">
      <c r="B49" s="34">
        <v>11303</v>
      </c>
      <c r="C49" s="45" t="s">
        <v>135</v>
      </c>
      <c r="D49" s="32">
        <v>5100</v>
      </c>
    </row>
    <row r="50" spans="2:4" x14ac:dyDescent="0.35">
      <c r="B50" s="34">
        <v>11401</v>
      </c>
      <c r="C50" s="45" t="s">
        <v>136</v>
      </c>
      <c r="D50" s="32">
        <v>4370</v>
      </c>
    </row>
    <row r="51" spans="2:4" x14ac:dyDescent="0.35">
      <c r="B51" s="34">
        <v>11402</v>
      </c>
      <c r="C51" s="45" t="s">
        <v>137</v>
      </c>
      <c r="D51" s="32">
        <v>1800</v>
      </c>
    </row>
    <row r="52" spans="2:4" x14ac:dyDescent="0.35">
      <c r="B52" s="34">
        <v>11501</v>
      </c>
      <c r="C52" s="45" t="s">
        <v>138</v>
      </c>
      <c r="D52" s="32">
        <v>11940</v>
      </c>
    </row>
    <row r="53" spans="2:4" x14ac:dyDescent="0.35">
      <c r="B53" s="34">
        <v>11502</v>
      </c>
      <c r="C53" s="45" t="s">
        <v>139</v>
      </c>
      <c r="D53" s="32">
        <v>1620</v>
      </c>
    </row>
    <row r="54" spans="2:4" x14ac:dyDescent="0.35">
      <c r="B54" s="34">
        <v>11503</v>
      </c>
      <c r="C54" s="45" t="s">
        <v>140</v>
      </c>
      <c r="D54" s="34">
        <v>720</v>
      </c>
    </row>
    <row r="55" spans="2:4" x14ac:dyDescent="0.35">
      <c r="B55" s="34">
        <v>11504</v>
      </c>
      <c r="C55" s="45" t="s">
        <v>141</v>
      </c>
      <c r="D55" s="32">
        <v>3790</v>
      </c>
    </row>
    <row r="56" spans="2:4" x14ac:dyDescent="0.35">
      <c r="B56" s="34">
        <v>11601</v>
      </c>
      <c r="C56" s="45" t="s">
        <v>142</v>
      </c>
      <c r="D56" s="32">
        <v>8460</v>
      </c>
    </row>
    <row r="57" spans="2:4" x14ac:dyDescent="0.35">
      <c r="B57" s="34">
        <v>11602</v>
      </c>
      <c r="C57" s="45" t="s">
        <v>143</v>
      </c>
      <c r="D57" s="32">
        <v>7040</v>
      </c>
    </row>
    <row r="58" spans="2:4" x14ac:dyDescent="0.35">
      <c r="B58" s="34">
        <v>11603</v>
      </c>
      <c r="C58" s="45" t="s">
        <v>144</v>
      </c>
      <c r="D58" s="32">
        <v>6050</v>
      </c>
    </row>
    <row r="59" spans="2:4" x14ac:dyDescent="0.35">
      <c r="B59" s="34">
        <v>11701</v>
      </c>
      <c r="C59" s="45" t="s">
        <v>145</v>
      </c>
      <c r="D59" s="32">
        <v>2210</v>
      </c>
    </row>
    <row r="60" spans="2:4" x14ac:dyDescent="0.35">
      <c r="B60" s="34">
        <v>11702</v>
      </c>
      <c r="C60" s="45" t="s">
        <v>146</v>
      </c>
      <c r="D60" s="32">
        <v>3820</v>
      </c>
    </row>
    <row r="61" spans="2:4" x14ac:dyDescent="0.35">
      <c r="B61" s="34">
        <v>11703</v>
      </c>
      <c r="C61" s="45" t="s">
        <v>147</v>
      </c>
      <c r="D61" s="32">
        <v>10510</v>
      </c>
    </row>
    <row r="62" spans="2:4" x14ac:dyDescent="0.35">
      <c r="B62" s="34">
        <v>11801</v>
      </c>
      <c r="C62" s="45" t="s">
        <v>148</v>
      </c>
      <c r="D62" s="32">
        <v>8580</v>
      </c>
    </row>
    <row r="63" spans="2:4" x14ac:dyDescent="0.35">
      <c r="B63" s="34">
        <v>11802</v>
      </c>
      <c r="C63" s="45" t="s">
        <v>149</v>
      </c>
      <c r="D63" s="32">
        <v>8470</v>
      </c>
    </row>
    <row r="64" spans="2:4" x14ac:dyDescent="0.35">
      <c r="B64" s="34">
        <v>11901</v>
      </c>
      <c r="C64" s="45" t="s">
        <v>150</v>
      </c>
      <c r="D64" s="32">
        <v>10370</v>
      </c>
    </row>
    <row r="65" spans="2:4" x14ac:dyDescent="0.35">
      <c r="B65" s="34">
        <v>11902</v>
      </c>
      <c r="C65" s="45" t="s">
        <v>151</v>
      </c>
      <c r="D65" s="32">
        <v>8990</v>
      </c>
    </row>
    <row r="66" spans="2:4" x14ac:dyDescent="0.35">
      <c r="B66" s="34">
        <v>11903</v>
      </c>
      <c r="C66" s="45" t="s">
        <v>152</v>
      </c>
      <c r="D66" s="32">
        <v>6700</v>
      </c>
    </row>
    <row r="67" spans="2:4" x14ac:dyDescent="0.35">
      <c r="B67" s="34">
        <v>11904</v>
      </c>
      <c r="C67" s="45" t="s">
        <v>153</v>
      </c>
      <c r="D67" s="32">
        <v>6180</v>
      </c>
    </row>
    <row r="68" spans="2:4" x14ac:dyDescent="0.35">
      <c r="B68" s="34">
        <v>12001</v>
      </c>
      <c r="C68" s="45" t="s">
        <v>154</v>
      </c>
      <c r="D68" s="32">
        <v>5330</v>
      </c>
    </row>
    <row r="69" spans="2:4" x14ac:dyDescent="0.35">
      <c r="B69" s="34">
        <v>12002</v>
      </c>
      <c r="C69" s="45" t="s">
        <v>155</v>
      </c>
      <c r="D69" s="32">
        <v>5630</v>
      </c>
    </row>
    <row r="70" spans="2:4" x14ac:dyDescent="0.35">
      <c r="B70" s="34">
        <v>12003</v>
      </c>
      <c r="C70" s="45" t="s">
        <v>156</v>
      </c>
      <c r="D70" s="32">
        <v>9370</v>
      </c>
    </row>
    <row r="71" spans="2:4" x14ac:dyDescent="0.35">
      <c r="B71" s="34">
        <v>12101</v>
      </c>
      <c r="C71" s="45" t="s">
        <v>157</v>
      </c>
      <c r="D71" s="32">
        <v>9060</v>
      </c>
    </row>
    <row r="72" spans="2:4" x14ac:dyDescent="0.35">
      <c r="B72" s="34">
        <v>12102</v>
      </c>
      <c r="C72" s="45" t="s">
        <v>158</v>
      </c>
      <c r="D72" s="32">
        <v>6010</v>
      </c>
    </row>
    <row r="73" spans="2:4" x14ac:dyDescent="0.35">
      <c r="B73" s="34">
        <v>12103</v>
      </c>
      <c r="C73" s="45" t="s">
        <v>159</v>
      </c>
      <c r="D73" s="32">
        <v>8530</v>
      </c>
    </row>
    <row r="74" spans="2:4" x14ac:dyDescent="0.35">
      <c r="B74" s="34">
        <v>12104</v>
      </c>
      <c r="C74" s="45" t="s">
        <v>160</v>
      </c>
      <c r="D74" s="32">
        <v>6090</v>
      </c>
    </row>
    <row r="75" spans="2:4" x14ac:dyDescent="0.35">
      <c r="B75" s="34">
        <v>12201</v>
      </c>
      <c r="C75" s="45" t="s">
        <v>161</v>
      </c>
      <c r="D75" s="32">
        <v>2950</v>
      </c>
    </row>
    <row r="76" spans="2:4" x14ac:dyDescent="0.35">
      <c r="B76" s="34">
        <v>12202</v>
      </c>
      <c r="C76" s="45" t="s">
        <v>162</v>
      </c>
      <c r="D76" s="32">
        <v>3200</v>
      </c>
    </row>
    <row r="77" spans="2:4" x14ac:dyDescent="0.35">
      <c r="B77" s="34">
        <v>12203</v>
      </c>
      <c r="C77" s="45" t="s">
        <v>163</v>
      </c>
      <c r="D77" s="32">
        <v>11700</v>
      </c>
    </row>
    <row r="78" spans="2:4" x14ac:dyDescent="0.35">
      <c r="B78" s="34">
        <v>12301</v>
      </c>
      <c r="C78" s="45" t="s">
        <v>164</v>
      </c>
      <c r="D78" s="32">
        <v>5730</v>
      </c>
    </row>
    <row r="79" spans="2:4" x14ac:dyDescent="0.35">
      <c r="B79" s="34">
        <v>12302</v>
      </c>
      <c r="C79" s="45" t="s">
        <v>165</v>
      </c>
      <c r="D79" s="32">
        <v>9010</v>
      </c>
    </row>
    <row r="80" spans="2:4" x14ac:dyDescent="0.35">
      <c r="B80" s="34">
        <v>12303</v>
      </c>
      <c r="C80" s="45" t="s">
        <v>166</v>
      </c>
      <c r="D80" s="32">
        <v>2530</v>
      </c>
    </row>
    <row r="81" spans="2:4" x14ac:dyDescent="0.35">
      <c r="B81" s="34">
        <v>12401</v>
      </c>
      <c r="C81" s="45" t="s">
        <v>167</v>
      </c>
      <c r="D81" s="32">
        <v>3640</v>
      </c>
    </row>
    <row r="82" spans="2:4" x14ac:dyDescent="0.35">
      <c r="B82" s="34">
        <v>12403</v>
      </c>
      <c r="C82" s="45" t="s">
        <v>168</v>
      </c>
      <c r="D82" s="32">
        <v>10640</v>
      </c>
    </row>
    <row r="83" spans="2:4" x14ac:dyDescent="0.35">
      <c r="B83" s="34">
        <v>12404</v>
      </c>
      <c r="C83" s="45" t="s">
        <v>169</v>
      </c>
      <c r="D83" s="32">
        <v>2340</v>
      </c>
    </row>
    <row r="84" spans="2:4" x14ac:dyDescent="0.35">
      <c r="B84" s="34">
        <v>12405</v>
      </c>
      <c r="C84" s="45" t="s">
        <v>170</v>
      </c>
      <c r="D84" s="32">
        <v>3210</v>
      </c>
    </row>
    <row r="85" spans="2:4" x14ac:dyDescent="0.35">
      <c r="B85" s="34">
        <v>12501</v>
      </c>
      <c r="C85" s="45" t="s">
        <v>171</v>
      </c>
      <c r="D85" s="32">
        <v>6020</v>
      </c>
    </row>
    <row r="86" spans="2:4" x14ac:dyDescent="0.35">
      <c r="B86" s="34">
        <v>12502</v>
      </c>
      <c r="C86" s="45" t="s">
        <v>172</v>
      </c>
      <c r="D86" s="32">
        <v>3160</v>
      </c>
    </row>
    <row r="87" spans="2:4" x14ac:dyDescent="0.35">
      <c r="B87" s="34">
        <v>12503</v>
      </c>
      <c r="C87" s="45" t="s">
        <v>173</v>
      </c>
      <c r="D87" s="32">
        <v>9540</v>
      </c>
    </row>
    <row r="88" spans="2:4" x14ac:dyDescent="0.35">
      <c r="B88" s="34">
        <v>12504</v>
      </c>
      <c r="C88" s="45" t="s">
        <v>174</v>
      </c>
      <c r="D88" s="32">
        <v>9800</v>
      </c>
    </row>
    <row r="89" spans="2:4" x14ac:dyDescent="0.35">
      <c r="B89" s="34">
        <v>12601</v>
      </c>
      <c r="C89" s="45" t="s">
        <v>175</v>
      </c>
      <c r="D89" s="32">
        <v>3660</v>
      </c>
    </row>
    <row r="90" spans="2:4" x14ac:dyDescent="0.35">
      <c r="B90" s="34">
        <v>12602</v>
      </c>
      <c r="C90" s="45" t="s">
        <v>176</v>
      </c>
      <c r="D90" s="32">
        <v>10700</v>
      </c>
    </row>
    <row r="91" spans="2:4" x14ac:dyDescent="0.35">
      <c r="B91" s="34">
        <v>12701</v>
      </c>
      <c r="C91" s="45" t="s">
        <v>177</v>
      </c>
      <c r="D91" s="32">
        <v>7870</v>
      </c>
    </row>
    <row r="92" spans="2:4" x14ac:dyDescent="0.35">
      <c r="B92" s="34">
        <v>12702</v>
      </c>
      <c r="C92" s="45" t="s">
        <v>178</v>
      </c>
      <c r="D92" s="32">
        <v>9350</v>
      </c>
    </row>
    <row r="93" spans="2:4" x14ac:dyDescent="0.35">
      <c r="B93" s="34">
        <v>12703</v>
      </c>
      <c r="C93" s="45" t="s">
        <v>179</v>
      </c>
      <c r="D93" s="32">
        <v>9240</v>
      </c>
    </row>
    <row r="94" spans="2:4" x14ac:dyDescent="0.35">
      <c r="B94" s="34">
        <v>12801</v>
      </c>
      <c r="C94" s="45" t="s">
        <v>180</v>
      </c>
      <c r="D94" s="32">
        <v>7350</v>
      </c>
    </row>
    <row r="95" spans="2:4" x14ac:dyDescent="0.35">
      <c r="B95" s="34">
        <v>12802</v>
      </c>
      <c r="C95" s="45" t="s">
        <v>181</v>
      </c>
      <c r="D95" s="32">
        <v>8170</v>
      </c>
    </row>
    <row r="96" spans="2:4" x14ac:dyDescent="0.35">
      <c r="B96" s="34">
        <v>20101</v>
      </c>
      <c r="C96" s="45" t="s">
        <v>182</v>
      </c>
      <c r="D96" s="32">
        <v>4970</v>
      </c>
    </row>
    <row r="97" spans="2:4" x14ac:dyDescent="0.35">
      <c r="B97" s="34">
        <v>20102</v>
      </c>
      <c r="C97" s="45" t="s">
        <v>183</v>
      </c>
      <c r="D97" s="34">
        <v>790</v>
      </c>
    </row>
    <row r="98" spans="2:4" x14ac:dyDescent="0.35">
      <c r="B98" s="34">
        <v>20103</v>
      </c>
      <c r="C98" s="45" t="s">
        <v>184</v>
      </c>
      <c r="D98" s="34">
        <v>380</v>
      </c>
    </row>
    <row r="99" spans="2:4" x14ac:dyDescent="0.35">
      <c r="B99" s="34">
        <v>20201</v>
      </c>
      <c r="C99" s="45" t="s">
        <v>185</v>
      </c>
      <c r="D99" s="32">
        <v>5530</v>
      </c>
    </row>
    <row r="100" spans="2:4" x14ac:dyDescent="0.35">
      <c r="B100" s="34">
        <v>20202</v>
      </c>
      <c r="C100" s="45" t="s">
        <v>186</v>
      </c>
      <c r="D100" s="32">
        <v>1520</v>
      </c>
    </row>
    <row r="101" spans="2:4" x14ac:dyDescent="0.35">
      <c r="B101" s="34">
        <v>20301</v>
      </c>
      <c r="C101" s="45" t="s">
        <v>187</v>
      </c>
      <c r="D101" s="32">
        <v>1090</v>
      </c>
    </row>
    <row r="102" spans="2:4" x14ac:dyDescent="0.35">
      <c r="B102" s="34">
        <v>20302</v>
      </c>
      <c r="C102" s="45" t="s">
        <v>188</v>
      </c>
      <c r="D102" s="32">
        <v>11050</v>
      </c>
    </row>
    <row r="103" spans="2:4" x14ac:dyDescent="0.35">
      <c r="B103" s="34">
        <v>20303</v>
      </c>
      <c r="C103" s="45" t="s">
        <v>189</v>
      </c>
      <c r="D103" s="32">
        <v>4190</v>
      </c>
    </row>
    <row r="104" spans="2:4" x14ac:dyDescent="0.35">
      <c r="B104" s="34">
        <v>20401</v>
      </c>
      <c r="C104" s="45" t="s">
        <v>190</v>
      </c>
      <c r="D104" s="32">
        <v>1970</v>
      </c>
    </row>
    <row r="105" spans="2:4" x14ac:dyDescent="0.35">
      <c r="B105" s="34">
        <v>20402</v>
      </c>
      <c r="C105" s="45" t="s">
        <v>191</v>
      </c>
      <c r="D105" s="32">
        <v>2060</v>
      </c>
    </row>
    <row r="106" spans="2:4" x14ac:dyDescent="0.35">
      <c r="B106" s="34">
        <v>20403</v>
      </c>
      <c r="C106" s="45" t="s">
        <v>192</v>
      </c>
      <c r="D106" s="32">
        <v>3940</v>
      </c>
    </row>
    <row r="107" spans="2:4" x14ac:dyDescent="0.35">
      <c r="B107" s="34">
        <v>20501</v>
      </c>
      <c r="C107" s="45" t="s">
        <v>193</v>
      </c>
      <c r="D107" s="32">
        <v>2080</v>
      </c>
    </row>
    <row r="108" spans="2:4" x14ac:dyDescent="0.35">
      <c r="B108" s="34">
        <v>20502</v>
      </c>
      <c r="C108" s="45" t="s">
        <v>194</v>
      </c>
      <c r="D108" s="32">
        <v>1580</v>
      </c>
    </row>
    <row r="109" spans="2:4" x14ac:dyDescent="0.35">
      <c r="B109" s="34">
        <v>20503</v>
      </c>
      <c r="C109" s="45" t="s">
        <v>195</v>
      </c>
      <c r="D109" s="32">
        <v>2110</v>
      </c>
    </row>
    <row r="110" spans="2:4" x14ac:dyDescent="0.35">
      <c r="B110" s="34">
        <v>20504</v>
      </c>
      <c r="C110" s="45" t="s">
        <v>196</v>
      </c>
      <c r="D110" s="32">
        <v>2710</v>
      </c>
    </row>
    <row r="111" spans="2:4" x14ac:dyDescent="0.35">
      <c r="B111" s="34">
        <v>20505</v>
      </c>
      <c r="C111" s="45" t="s">
        <v>197</v>
      </c>
      <c r="D111" s="32">
        <v>1340</v>
      </c>
    </row>
    <row r="112" spans="2:4" x14ac:dyDescent="0.35">
      <c r="B112" s="34">
        <v>20601</v>
      </c>
      <c r="C112" s="45" t="s">
        <v>198</v>
      </c>
      <c r="D112" s="32">
        <v>6180</v>
      </c>
    </row>
    <row r="113" spans="2:4" x14ac:dyDescent="0.35">
      <c r="B113" s="34">
        <v>20602</v>
      </c>
      <c r="C113" s="45" t="s">
        <v>199</v>
      </c>
      <c r="D113" s="32">
        <v>3230</v>
      </c>
    </row>
    <row r="114" spans="2:4" x14ac:dyDescent="0.35">
      <c r="B114" s="34">
        <v>20603</v>
      </c>
      <c r="C114" s="45" t="s">
        <v>200</v>
      </c>
      <c r="D114" s="32">
        <v>5210</v>
      </c>
    </row>
    <row r="115" spans="2:4" x14ac:dyDescent="0.35">
      <c r="B115" s="34">
        <v>20604</v>
      </c>
      <c r="C115" s="45" t="s">
        <v>201</v>
      </c>
      <c r="D115" s="32">
        <v>7500</v>
      </c>
    </row>
    <row r="116" spans="2:4" x14ac:dyDescent="0.35">
      <c r="B116" s="34">
        <v>20605</v>
      </c>
      <c r="C116" s="45" t="s">
        <v>202</v>
      </c>
      <c r="D116" s="32">
        <v>4950</v>
      </c>
    </row>
    <row r="117" spans="2:4" x14ac:dyDescent="0.35">
      <c r="B117" s="34">
        <v>20606</v>
      </c>
      <c r="C117" s="45" t="s">
        <v>203</v>
      </c>
      <c r="D117" s="32">
        <v>2540</v>
      </c>
    </row>
    <row r="118" spans="2:4" x14ac:dyDescent="0.35">
      <c r="B118" s="34">
        <v>20607</v>
      </c>
      <c r="C118" s="45" t="s">
        <v>204</v>
      </c>
      <c r="D118" s="32">
        <v>6720</v>
      </c>
    </row>
    <row r="119" spans="2:4" x14ac:dyDescent="0.35">
      <c r="B119" s="34">
        <v>20701</v>
      </c>
      <c r="C119" s="45" t="s">
        <v>205</v>
      </c>
      <c r="D119" s="32">
        <v>8230</v>
      </c>
    </row>
    <row r="120" spans="2:4" x14ac:dyDescent="0.35">
      <c r="B120" s="34">
        <v>20702</v>
      </c>
      <c r="C120" s="45" t="s">
        <v>206</v>
      </c>
      <c r="D120" s="32">
        <v>4050</v>
      </c>
    </row>
    <row r="121" spans="2:4" x14ac:dyDescent="0.35">
      <c r="B121" s="34">
        <v>20703</v>
      </c>
      <c r="C121" s="45" t="s">
        <v>207</v>
      </c>
      <c r="D121" s="32">
        <v>6390</v>
      </c>
    </row>
    <row r="122" spans="2:4" x14ac:dyDescent="0.35">
      <c r="B122" s="34">
        <v>20801</v>
      </c>
      <c r="C122" s="45" t="s">
        <v>208</v>
      </c>
      <c r="D122" s="32">
        <v>5630</v>
      </c>
    </row>
    <row r="123" spans="2:4" x14ac:dyDescent="0.35">
      <c r="B123" s="34">
        <v>20802</v>
      </c>
      <c r="C123" s="45" t="s">
        <v>209</v>
      </c>
      <c r="D123" s="32">
        <v>10700</v>
      </c>
    </row>
    <row r="124" spans="2:4" x14ac:dyDescent="0.35">
      <c r="B124" s="34">
        <v>20803</v>
      </c>
      <c r="C124" s="45" t="s">
        <v>210</v>
      </c>
      <c r="D124" s="32">
        <v>7700</v>
      </c>
    </row>
    <row r="125" spans="2:4" x14ac:dyDescent="0.35">
      <c r="B125" s="34">
        <v>20804</v>
      </c>
      <c r="C125" s="45" t="s">
        <v>211</v>
      </c>
      <c r="D125" s="32">
        <v>1930</v>
      </c>
    </row>
    <row r="126" spans="2:4" x14ac:dyDescent="0.35">
      <c r="B126" s="34">
        <v>20901</v>
      </c>
      <c r="C126" s="45" t="s">
        <v>212</v>
      </c>
      <c r="D126" s="32">
        <v>6870</v>
      </c>
    </row>
    <row r="127" spans="2:4" x14ac:dyDescent="0.35">
      <c r="B127" s="34">
        <v>20902</v>
      </c>
      <c r="C127" s="45" t="s">
        <v>213</v>
      </c>
      <c r="D127" s="32">
        <v>5170</v>
      </c>
    </row>
    <row r="128" spans="2:4" x14ac:dyDescent="0.35">
      <c r="B128" s="34">
        <v>20903</v>
      </c>
      <c r="C128" s="45" t="s">
        <v>214</v>
      </c>
      <c r="D128" s="32">
        <v>4910</v>
      </c>
    </row>
    <row r="129" spans="2:4" x14ac:dyDescent="0.35">
      <c r="B129" s="34">
        <v>20904</v>
      </c>
      <c r="C129" s="45" t="s">
        <v>215</v>
      </c>
      <c r="D129" s="32">
        <v>13440</v>
      </c>
    </row>
    <row r="130" spans="2:4" x14ac:dyDescent="0.35">
      <c r="B130" s="34">
        <v>21001</v>
      </c>
      <c r="C130" s="45" t="s">
        <v>216</v>
      </c>
      <c r="D130" s="32">
        <v>3070</v>
      </c>
    </row>
    <row r="131" spans="2:4" x14ac:dyDescent="0.35">
      <c r="B131" s="34">
        <v>21002</v>
      </c>
      <c r="C131" s="45" t="s">
        <v>217</v>
      </c>
      <c r="D131" s="32">
        <v>1770</v>
      </c>
    </row>
    <row r="132" spans="2:4" x14ac:dyDescent="0.35">
      <c r="B132" s="34">
        <v>21003</v>
      </c>
      <c r="C132" s="45" t="s">
        <v>218</v>
      </c>
      <c r="D132" s="32">
        <v>3250</v>
      </c>
    </row>
    <row r="133" spans="2:4" x14ac:dyDescent="0.35">
      <c r="B133" s="34">
        <v>21004</v>
      </c>
      <c r="C133" s="45" t="s">
        <v>219</v>
      </c>
      <c r="D133" s="32">
        <v>2530</v>
      </c>
    </row>
    <row r="134" spans="2:4" x14ac:dyDescent="0.35">
      <c r="B134" s="34">
        <v>21005</v>
      </c>
      <c r="C134" s="45" t="s">
        <v>220</v>
      </c>
      <c r="D134" s="32">
        <v>9520</v>
      </c>
    </row>
    <row r="135" spans="2:4" x14ac:dyDescent="0.35">
      <c r="B135" s="34">
        <v>21101</v>
      </c>
      <c r="C135" s="45" t="s">
        <v>221</v>
      </c>
      <c r="D135" s="32">
        <v>7700</v>
      </c>
    </row>
    <row r="136" spans="2:4" x14ac:dyDescent="0.35">
      <c r="B136" s="34">
        <v>21102</v>
      </c>
      <c r="C136" s="45" t="s">
        <v>222</v>
      </c>
      <c r="D136" s="32">
        <v>1390</v>
      </c>
    </row>
    <row r="137" spans="2:4" x14ac:dyDescent="0.35">
      <c r="B137" s="34">
        <v>21103</v>
      </c>
      <c r="C137" s="45" t="s">
        <v>223</v>
      </c>
      <c r="D137" s="32">
        <v>8140</v>
      </c>
    </row>
    <row r="138" spans="2:4" x14ac:dyDescent="0.35">
      <c r="B138" s="34">
        <v>21104</v>
      </c>
      <c r="C138" s="45" t="s">
        <v>224</v>
      </c>
      <c r="D138" s="32">
        <v>3350</v>
      </c>
    </row>
    <row r="139" spans="2:4" x14ac:dyDescent="0.35">
      <c r="B139" s="34">
        <v>21105</v>
      </c>
      <c r="C139" s="45" t="s">
        <v>225</v>
      </c>
      <c r="D139" s="32">
        <v>7190</v>
      </c>
    </row>
    <row r="140" spans="2:4" x14ac:dyDescent="0.35">
      <c r="B140" s="34">
        <v>21201</v>
      </c>
      <c r="C140" s="45" t="s">
        <v>226</v>
      </c>
      <c r="D140" s="32">
        <v>6790</v>
      </c>
    </row>
    <row r="141" spans="2:4" x14ac:dyDescent="0.35">
      <c r="B141" s="34">
        <v>21202</v>
      </c>
      <c r="C141" s="45" t="s">
        <v>227</v>
      </c>
      <c r="D141" s="32">
        <v>8490</v>
      </c>
    </row>
    <row r="142" spans="2:4" x14ac:dyDescent="0.35">
      <c r="B142" s="34">
        <v>21203</v>
      </c>
      <c r="C142" s="45" t="s">
        <v>228</v>
      </c>
      <c r="D142" s="32">
        <v>9410</v>
      </c>
    </row>
    <row r="143" spans="2:4" x14ac:dyDescent="0.35">
      <c r="B143" s="34">
        <v>21204</v>
      </c>
      <c r="C143" s="45" t="s">
        <v>229</v>
      </c>
      <c r="D143" s="32">
        <v>8060</v>
      </c>
    </row>
    <row r="144" spans="2:4" x14ac:dyDescent="0.35">
      <c r="B144" s="34">
        <v>21205</v>
      </c>
      <c r="C144" s="45" t="s">
        <v>230</v>
      </c>
      <c r="D144" s="32">
        <v>9550</v>
      </c>
    </row>
    <row r="145" spans="2:4" x14ac:dyDescent="0.35">
      <c r="B145" s="34">
        <v>21301</v>
      </c>
      <c r="C145" s="45" t="s">
        <v>231</v>
      </c>
      <c r="D145" s="32">
        <v>10770</v>
      </c>
    </row>
    <row r="146" spans="2:4" x14ac:dyDescent="0.35">
      <c r="B146" s="34">
        <v>21302</v>
      </c>
      <c r="C146" s="45" t="s">
        <v>232</v>
      </c>
      <c r="D146" s="32">
        <v>5070</v>
      </c>
    </row>
    <row r="147" spans="2:4" x14ac:dyDescent="0.35">
      <c r="B147" s="34">
        <v>21303</v>
      </c>
      <c r="C147" s="45" t="s">
        <v>233</v>
      </c>
      <c r="D147" s="32">
        <v>6790</v>
      </c>
    </row>
    <row r="148" spans="2:4" x14ac:dyDescent="0.35">
      <c r="B148" s="34">
        <v>21304</v>
      </c>
      <c r="C148" s="45" t="s">
        <v>234</v>
      </c>
      <c r="D148" s="32">
        <v>8590</v>
      </c>
    </row>
    <row r="149" spans="2:4" x14ac:dyDescent="0.35">
      <c r="B149" s="34">
        <v>21305</v>
      </c>
      <c r="C149" s="45" t="s">
        <v>235</v>
      </c>
      <c r="D149" s="32">
        <v>22190</v>
      </c>
    </row>
    <row r="150" spans="2:4" x14ac:dyDescent="0.35">
      <c r="B150" s="34">
        <v>21401</v>
      </c>
      <c r="C150" s="45" t="s">
        <v>236</v>
      </c>
      <c r="D150" s="32">
        <v>7130</v>
      </c>
    </row>
    <row r="151" spans="2:4" x14ac:dyDescent="0.35">
      <c r="B151" s="34">
        <v>21402</v>
      </c>
      <c r="C151" s="45" t="s">
        <v>237</v>
      </c>
      <c r="D151" s="32">
        <v>6940</v>
      </c>
    </row>
    <row r="152" spans="2:4" x14ac:dyDescent="0.35">
      <c r="B152" s="34">
        <v>21501</v>
      </c>
      <c r="C152" s="45" t="s">
        <v>238</v>
      </c>
      <c r="D152" s="32">
        <v>1510</v>
      </c>
    </row>
    <row r="153" spans="2:4" x14ac:dyDescent="0.35">
      <c r="B153" s="34">
        <v>21502</v>
      </c>
      <c r="C153" s="45" t="s">
        <v>239</v>
      </c>
      <c r="D153" s="32">
        <v>2500</v>
      </c>
    </row>
    <row r="154" spans="2:4" x14ac:dyDescent="0.35">
      <c r="B154" s="34">
        <v>21503</v>
      </c>
      <c r="C154" s="45" t="s">
        <v>240</v>
      </c>
      <c r="D154" s="34">
        <v>970</v>
      </c>
    </row>
    <row r="155" spans="2:4" x14ac:dyDescent="0.35">
      <c r="B155" s="34">
        <v>21601</v>
      </c>
      <c r="C155" s="45" t="s">
        <v>241</v>
      </c>
      <c r="D155" s="32">
        <v>1150</v>
      </c>
    </row>
    <row r="156" spans="2:4" x14ac:dyDescent="0.35">
      <c r="B156" s="34">
        <v>21602</v>
      </c>
      <c r="C156" s="45" t="s">
        <v>242</v>
      </c>
      <c r="D156" s="32">
        <v>1290</v>
      </c>
    </row>
    <row r="157" spans="2:4" x14ac:dyDescent="0.35">
      <c r="B157" s="34">
        <v>21603</v>
      </c>
      <c r="C157" s="45" t="s">
        <v>243</v>
      </c>
      <c r="D157" s="32">
        <v>3010</v>
      </c>
    </row>
    <row r="158" spans="2:4" x14ac:dyDescent="0.35">
      <c r="B158" s="34">
        <v>21701</v>
      </c>
      <c r="C158" s="45" t="s">
        <v>244</v>
      </c>
      <c r="D158" s="32">
        <v>1010</v>
      </c>
    </row>
    <row r="159" spans="2:4" x14ac:dyDescent="0.35">
      <c r="B159" s="34">
        <v>21703</v>
      </c>
      <c r="C159" s="45" t="s">
        <v>245</v>
      </c>
      <c r="D159" s="32">
        <v>1150</v>
      </c>
    </row>
    <row r="160" spans="2:4" x14ac:dyDescent="0.35">
      <c r="B160" s="34">
        <v>21704</v>
      </c>
      <c r="C160" s="45" t="s">
        <v>246</v>
      </c>
      <c r="D160" s="32">
        <v>1900</v>
      </c>
    </row>
    <row r="161" spans="2:4" x14ac:dyDescent="0.35">
      <c r="B161" s="34">
        <v>30101</v>
      </c>
      <c r="C161" s="45" t="s">
        <v>247</v>
      </c>
      <c r="D161" s="32">
        <v>5510</v>
      </c>
    </row>
    <row r="162" spans="2:4" x14ac:dyDescent="0.35">
      <c r="B162" s="34">
        <v>30102</v>
      </c>
      <c r="C162" s="45" t="s">
        <v>248</v>
      </c>
      <c r="D162" s="32">
        <v>5290</v>
      </c>
    </row>
    <row r="163" spans="2:4" x14ac:dyDescent="0.35">
      <c r="B163" s="34">
        <v>30103</v>
      </c>
      <c r="C163" s="45" t="s">
        <v>249</v>
      </c>
      <c r="D163" s="32">
        <v>6950</v>
      </c>
    </row>
    <row r="164" spans="2:4" x14ac:dyDescent="0.35">
      <c r="B164" s="34">
        <v>30201</v>
      </c>
      <c r="C164" s="45" t="s">
        <v>250</v>
      </c>
      <c r="D164" s="32">
        <v>2430</v>
      </c>
    </row>
    <row r="165" spans="2:4" x14ac:dyDescent="0.35">
      <c r="B165" s="34">
        <v>30202</v>
      </c>
      <c r="C165" s="45" t="s">
        <v>251</v>
      </c>
      <c r="D165" s="32">
        <v>5720</v>
      </c>
    </row>
    <row r="166" spans="2:4" x14ac:dyDescent="0.35">
      <c r="B166" s="34">
        <v>30203</v>
      </c>
      <c r="C166" s="45" t="s">
        <v>252</v>
      </c>
      <c r="D166" s="32">
        <v>2940</v>
      </c>
    </row>
    <row r="167" spans="2:4" x14ac:dyDescent="0.35">
      <c r="B167" s="34">
        <v>30204</v>
      </c>
      <c r="C167" s="45" t="s">
        <v>253</v>
      </c>
      <c r="D167" s="32">
        <v>5050</v>
      </c>
    </row>
    <row r="168" spans="2:4" x14ac:dyDescent="0.35">
      <c r="B168" s="34">
        <v>30301</v>
      </c>
      <c r="C168" s="45" t="s">
        <v>254</v>
      </c>
      <c r="D168" s="32">
        <v>3860</v>
      </c>
    </row>
    <row r="169" spans="2:4" x14ac:dyDescent="0.35">
      <c r="B169" s="34">
        <v>30302</v>
      </c>
      <c r="C169" s="45" t="s">
        <v>255</v>
      </c>
      <c r="D169" s="32">
        <v>5680</v>
      </c>
    </row>
    <row r="170" spans="2:4" x14ac:dyDescent="0.35">
      <c r="B170" s="34">
        <v>30303</v>
      </c>
      <c r="C170" s="45" t="s">
        <v>256</v>
      </c>
      <c r="D170" s="32">
        <v>6310</v>
      </c>
    </row>
    <row r="171" spans="2:4" x14ac:dyDescent="0.35">
      <c r="B171" s="34">
        <v>30304</v>
      </c>
      <c r="C171" s="45" t="s">
        <v>257</v>
      </c>
      <c r="D171" s="32">
        <v>3820</v>
      </c>
    </row>
    <row r="172" spans="2:4" x14ac:dyDescent="0.35">
      <c r="B172" s="34">
        <v>30305</v>
      </c>
      <c r="C172" s="45" t="s">
        <v>258</v>
      </c>
      <c r="D172" s="32">
        <v>4520</v>
      </c>
    </row>
    <row r="173" spans="2:4" x14ac:dyDescent="0.35">
      <c r="B173" s="34">
        <v>30306</v>
      </c>
      <c r="C173" s="45" t="s">
        <v>259</v>
      </c>
      <c r="D173" s="32">
        <v>3300</v>
      </c>
    </row>
    <row r="174" spans="2:4" x14ac:dyDescent="0.35">
      <c r="B174" s="34">
        <v>30401</v>
      </c>
      <c r="C174" s="45" t="s">
        <v>260</v>
      </c>
      <c r="D174" s="32">
        <v>2500</v>
      </c>
    </row>
    <row r="175" spans="2:4" x14ac:dyDescent="0.35">
      <c r="B175" s="34">
        <v>30402</v>
      </c>
      <c r="C175" s="45" t="s">
        <v>261</v>
      </c>
      <c r="D175" s="32">
        <v>2880</v>
      </c>
    </row>
    <row r="176" spans="2:4" x14ac:dyDescent="0.35">
      <c r="B176" s="34">
        <v>30403</v>
      </c>
      <c r="C176" s="45" t="s">
        <v>262</v>
      </c>
      <c r="D176" s="32">
        <v>3910</v>
      </c>
    </row>
    <row r="177" spans="2:4" x14ac:dyDescent="0.35">
      <c r="B177" s="34">
        <v>30404</v>
      </c>
      <c r="C177" s="45" t="s">
        <v>263</v>
      </c>
      <c r="D177" s="32">
        <v>4670</v>
      </c>
    </row>
    <row r="178" spans="2:4" x14ac:dyDescent="0.35">
      <c r="B178" s="34">
        <v>30501</v>
      </c>
      <c r="C178" s="45" t="s">
        <v>264</v>
      </c>
      <c r="D178" s="32">
        <v>4720</v>
      </c>
    </row>
    <row r="179" spans="2:4" x14ac:dyDescent="0.35">
      <c r="B179" s="34">
        <v>30502</v>
      </c>
      <c r="C179" s="45" t="s">
        <v>265</v>
      </c>
      <c r="D179" s="32">
        <v>2940</v>
      </c>
    </row>
    <row r="180" spans="2:4" x14ac:dyDescent="0.35">
      <c r="B180" s="34">
        <v>30503</v>
      </c>
      <c r="C180" s="45" t="s">
        <v>266</v>
      </c>
      <c r="D180" s="32">
        <v>6170</v>
      </c>
    </row>
    <row r="181" spans="2:4" x14ac:dyDescent="0.35">
      <c r="B181" s="34">
        <v>30504</v>
      </c>
      <c r="C181" s="45" t="s">
        <v>267</v>
      </c>
      <c r="D181" s="32">
        <v>4460</v>
      </c>
    </row>
    <row r="182" spans="2:4" x14ac:dyDescent="0.35">
      <c r="B182" s="34">
        <v>30601</v>
      </c>
      <c r="C182" s="45" t="s">
        <v>268</v>
      </c>
      <c r="D182" s="32">
        <v>3850</v>
      </c>
    </row>
    <row r="183" spans="2:4" x14ac:dyDescent="0.35">
      <c r="B183" s="34">
        <v>30602</v>
      </c>
      <c r="C183" s="45" t="s">
        <v>269</v>
      </c>
      <c r="D183" s="32">
        <v>7230</v>
      </c>
    </row>
    <row r="184" spans="2:4" x14ac:dyDescent="0.35">
      <c r="B184" s="34">
        <v>30603</v>
      </c>
      <c r="C184" s="45" t="s">
        <v>270</v>
      </c>
      <c r="D184" s="34">
        <v>900</v>
      </c>
    </row>
    <row r="185" spans="2:4" x14ac:dyDescent="0.35">
      <c r="B185" s="34">
        <v>30604</v>
      </c>
      <c r="C185" s="45" t="s">
        <v>271</v>
      </c>
      <c r="D185" s="34">
        <v>540</v>
      </c>
    </row>
    <row r="186" spans="2:4" x14ac:dyDescent="0.35">
      <c r="B186" s="34">
        <v>30605</v>
      </c>
      <c r="C186" s="45" t="s">
        <v>272</v>
      </c>
      <c r="D186" s="32">
        <v>1540</v>
      </c>
    </row>
    <row r="187" spans="2:4" x14ac:dyDescent="0.35">
      <c r="B187" s="34">
        <v>30701</v>
      </c>
      <c r="C187" s="45" t="s">
        <v>273</v>
      </c>
      <c r="D187" s="32">
        <v>1810</v>
      </c>
    </row>
    <row r="188" spans="2:4" x14ac:dyDescent="0.35">
      <c r="B188" s="34">
        <v>30702</v>
      </c>
      <c r="C188" s="45" t="s">
        <v>274</v>
      </c>
      <c r="D188" s="32">
        <v>1260</v>
      </c>
    </row>
    <row r="189" spans="2:4" x14ac:dyDescent="0.35">
      <c r="B189" s="34">
        <v>30703</v>
      </c>
      <c r="C189" s="45" t="s">
        <v>275</v>
      </c>
      <c r="D189" s="32">
        <v>1410</v>
      </c>
    </row>
    <row r="190" spans="2:4" x14ac:dyDescent="0.35">
      <c r="B190" s="34">
        <v>30801</v>
      </c>
      <c r="C190" s="45" t="s">
        <v>276</v>
      </c>
      <c r="D190" s="34">
        <v>990</v>
      </c>
    </row>
    <row r="191" spans="2:4" x14ac:dyDescent="0.35">
      <c r="B191" s="34">
        <v>30803</v>
      </c>
      <c r="C191" s="45" t="s">
        <v>277</v>
      </c>
      <c r="D191" s="32">
        <v>6590</v>
      </c>
    </row>
    <row r="192" spans="2:4" x14ac:dyDescent="0.35">
      <c r="B192" s="34">
        <v>30804</v>
      </c>
      <c r="C192" s="45" t="s">
        <v>278</v>
      </c>
      <c r="D192" s="34">
        <v>300</v>
      </c>
    </row>
    <row r="193" spans="2:4" x14ac:dyDescent="0.35">
      <c r="B193" s="34">
        <v>30805</v>
      </c>
      <c r="C193" s="45" t="s">
        <v>279</v>
      </c>
      <c r="D193" s="32">
        <v>3070</v>
      </c>
    </row>
    <row r="194" spans="2:4" x14ac:dyDescent="0.35">
      <c r="B194" s="34">
        <v>30901</v>
      </c>
      <c r="C194" s="45" t="s">
        <v>280</v>
      </c>
      <c r="D194" s="32">
        <v>3340</v>
      </c>
    </row>
    <row r="195" spans="2:4" x14ac:dyDescent="0.35">
      <c r="B195" s="34">
        <v>30902</v>
      </c>
      <c r="C195" s="45" t="s">
        <v>281</v>
      </c>
      <c r="D195" s="32">
        <v>2250</v>
      </c>
    </row>
    <row r="196" spans="2:4" x14ac:dyDescent="0.35">
      <c r="B196" s="34">
        <v>30903</v>
      </c>
      <c r="C196" s="45" t="s">
        <v>282</v>
      </c>
      <c r="D196" s="32">
        <v>2580</v>
      </c>
    </row>
    <row r="197" spans="2:4" x14ac:dyDescent="0.35">
      <c r="B197" s="34">
        <v>30904</v>
      </c>
      <c r="C197" s="45" t="s">
        <v>283</v>
      </c>
      <c r="D197" s="34">
        <v>570</v>
      </c>
    </row>
    <row r="198" spans="2:4" x14ac:dyDescent="0.35">
      <c r="B198" s="34">
        <v>30905</v>
      </c>
      <c r="C198" s="45" t="s">
        <v>284</v>
      </c>
      <c r="D198" s="32">
        <v>3780</v>
      </c>
    </row>
    <row r="199" spans="2:4" x14ac:dyDescent="0.35">
      <c r="B199" s="34">
        <v>30906</v>
      </c>
      <c r="C199" s="45" t="s">
        <v>285</v>
      </c>
      <c r="D199" s="32">
        <v>5740</v>
      </c>
    </row>
    <row r="200" spans="2:4" x14ac:dyDescent="0.35">
      <c r="B200" s="34">
        <v>30907</v>
      </c>
      <c r="C200" s="45" t="s">
        <v>286</v>
      </c>
      <c r="D200" s="32">
        <v>11650</v>
      </c>
    </row>
    <row r="201" spans="2:4" x14ac:dyDescent="0.35">
      <c r="B201" s="34">
        <v>30908</v>
      </c>
      <c r="C201" s="45" t="s">
        <v>287</v>
      </c>
      <c r="D201" s="32">
        <v>4090</v>
      </c>
    </row>
    <row r="202" spans="2:4" x14ac:dyDescent="0.35">
      <c r="B202" s="34">
        <v>30909</v>
      </c>
      <c r="C202" s="45" t="s">
        <v>288</v>
      </c>
      <c r="D202" s="32">
        <v>4770</v>
      </c>
    </row>
    <row r="203" spans="2:4" x14ac:dyDescent="0.35">
      <c r="B203" s="34">
        <v>30910</v>
      </c>
      <c r="C203" s="45" t="s">
        <v>289</v>
      </c>
      <c r="D203" s="32">
        <v>1340</v>
      </c>
    </row>
    <row r="204" spans="2:4" x14ac:dyDescent="0.35">
      <c r="B204" s="34">
        <v>31001</v>
      </c>
      <c r="C204" s="45" t="s">
        <v>290</v>
      </c>
      <c r="D204" s="32">
        <v>6610</v>
      </c>
    </row>
    <row r="205" spans="2:4" x14ac:dyDescent="0.35">
      <c r="B205" s="34">
        <v>31002</v>
      </c>
      <c r="C205" s="45" t="s">
        <v>291</v>
      </c>
      <c r="D205" s="32">
        <v>2430</v>
      </c>
    </row>
    <row r="206" spans="2:4" x14ac:dyDescent="0.35">
      <c r="B206" s="34">
        <v>31003</v>
      </c>
      <c r="C206" s="45" t="s">
        <v>292</v>
      </c>
      <c r="D206" s="32">
        <v>7960</v>
      </c>
    </row>
    <row r="207" spans="2:4" x14ac:dyDescent="0.35">
      <c r="B207" s="34">
        <v>31004</v>
      </c>
      <c r="C207" s="45" t="s">
        <v>293</v>
      </c>
      <c r="D207" s="32">
        <v>8860</v>
      </c>
    </row>
    <row r="208" spans="2:4" x14ac:dyDescent="0.35">
      <c r="B208" s="34">
        <v>31101</v>
      </c>
      <c r="C208" s="45" t="s">
        <v>294</v>
      </c>
      <c r="D208" s="34">
        <v>780</v>
      </c>
    </row>
    <row r="209" spans="2:4" x14ac:dyDescent="0.35">
      <c r="B209" s="34">
        <v>31102</v>
      </c>
      <c r="C209" s="45" t="s">
        <v>295</v>
      </c>
      <c r="D209" s="32">
        <v>2980</v>
      </c>
    </row>
    <row r="210" spans="2:4" x14ac:dyDescent="0.35">
      <c r="B210" s="34">
        <v>31103</v>
      </c>
      <c r="C210" s="45" t="s">
        <v>296</v>
      </c>
      <c r="D210" s="32">
        <v>4860</v>
      </c>
    </row>
    <row r="211" spans="2:4" x14ac:dyDescent="0.35">
      <c r="B211" s="34">
        <v>31104</v>
      </c>
      <c r="C211" s="45" t="s">
        <v>297</v>
      </c>
      <c r="D211" s="32">
        <v>3330</v>
      </c>
    </row>
    <row r="212" spans="2:4" x14ac:dyDescent="0.35">
      <c r="B212" s="34">
        <v>31105</v>
      </c>
      <c r="C212" s="45" t="s">
        <v>298</v>
      </c>
      <c r="D212" s="32">
        <v>5250</v>
      </c>
    </row>
    <row r="213" spans="2:4" x14ac:dyDescent="0.35">
      <c r="B213" s="34">
        <v>31106</v>
      </c>
      <c r="C213" s="45" t="s">
        <v>299</v>
      </c>
      <c r="D213" s="32">
        <v>6260</v>
      </c>
    </row>
    <row r="214" spans="2:4" x14ac:dyDescent="0.35">
      <c r="B214" s="34">
        <v>31201</v>
      </c>
      <c r="C214" s="45" t="s">
        <v>300</v>
      </c>
      <c r="D214" s="32">
        <v>1360</v>
      </c>
    </row>
    <row r="215" spans="2:4" x14ac:dyDescent="0.35">
      <c r="B215" s="34">
        <v>31202</v>
      </c>
      <c r="C215" s="45" t="s">
        <v>301</v>
      </c>
      <c r="D215" s="32">
        <v>5940</v>
      </c>
    </row>
    <row r="216" spans="2:4" x14ac:dyDescent="0.35">
      <c r="B216" s="34">
        <v>31203</v>
      </c>
      <c r="C216" s="45" t="s">
        <v>302</v>
      </c>
      <c r="D216" s="32">
        <v>1050</v>
      </c>
    </row>
    <row r="217" spans="2:4" x14ac:dyDescent="0.35">
      <c r="B217" s="34">
        <v>31301</v>
      </c>
      <c r="C217" s="45" t="s">
        <v>303</v>
      </c>
      <c r="D217" s="34">
        <v>870</v>
      </c>
    </row>
    <row r="218" spans="2:4" x14ac:dyDescent="0.35">
      <c r="B218" s="34">
        <v>31302</v>
      </c>
      <c r="C218" s="45" t="s">
        <v>304</v>
      </c>
      <c r="D218" s="32">
        <v>5050</v>
      </c>
    </row>
    <row r="219" spans="2:4" x14ac:dyDescent="0.35">
      <c r="B219" s="34">
        <v>31303</v>
      </c>
      <c r="C219" s="45" t="s">
        <v>305</v>
      </c>
      <c r="D219" s="34">
        <v>230</v>
      </c>
    </row>
    <row r="220" spans="2:4" x14ac:dyDescent="0.35">
      <c r="B220" s="34">
        <v>31304</v>
      </c>
      <c r="C220" s="45" t="s">
        <v>306</v>
      </c>
      <c r="D220" s="32">
        <v>4820</v>
      </c>
    </row>
    <row r="221" spans="2:4" x14ac:dyDescent="0.35">
      <c r="B221" s="34">
        <v>31305</v>
      </c>
      <c r="C221" s="45" t="s">
        <v>307</v>
      </c>
      <c r="D221" s="32">
        <v>3320</v>
      </c>
    </row>
    <row r="222" spans="2:4" x14ac:dyDescent="0.35">
      <c r="B222" s="34">
        <v>31401</v>
      </c>
      <c r="C222" s="45" t="s">
        <v>308</v>
      </c>
      <c r="D222" s="32">
        <v>6190</v>
      </c>
    </row>
    <row r="223" spans="2:4" x14ac:dyDescent="0.35">
      <c r="B223" s="34">
        <v>31402</v>
      </c>
      <c r="C223" s="45" t="s">
        <v>309</v>
      </c>
      <c r="D223" s="32">
        <v>6800</v>
      </c>
    </row>
    <row r="224" spans="2:4" x14ac:dyDescent="0.35">
      <c r="B224" s="34">
        <v>31403</v>
      </c>
      <c r="C224" s="45" t="s">
        <v>310</v>
      </c>
      <c r="D224" s="32">
        <v>3040</v>
      </c>
    </row>
    <row r="225" spans="2:4" x14ac:dyDescent="0.35">
      <c r="B225" s="34">
        <v>31501</v>
      </c>
      <c r="C225" s="45" t="s">
        <v>311</v>
      </c>
      <c r="D225" s="34">
        <v>790</v>
      </c>
    </row>
    <row r="226" spans="2:4" x14ac:dyDescent="0.35">
      <c r="B226" s="34">
        <v>31502</v>
      </c>
      <c r="C226" s="45" t="s">
        <v>312</v>
      </c>
      <c r="D226" s="32">
        <v>1190</v>
      </c>
    </row>
    <row r="227" spans="2:4" x14ac:dyDescent="0.35">
      <c r="B227" s="34">
        <v>31503</v>
      </c>
      <c r="C227" s="45" t="s">
        <v>313</v>
      </c>
      <c r="D227" s="34">
        <v>670</v>
      </c>
    </row>
    <row r="228" spans="2:4" x14ac:dyDescent="0.35">
      <c r="B228" s="34">
        <v>31601</v>
      </c>
      <c r="C228" s="45" t="s">
        <v>314</v>
      </c>
      <c r="D228" s="32">
        <v>3990</v>
      </c>
    </row>
    <row r="229" spans="2:4" x14ac:dyDescent="0.35">
      <c r="B229" s="34">
        <v>31602</v>
      </c>
      <c r="C229" s="45" t="s">
        <v>315</v>
      </c>
      <c r="D229" s="32">
        <v>4900</v>
      </c>
    </row>
    <row r="230" spans="2:4" x14ac:dyDescent="0.35">
      <c r="B230" s="34">
        <v>31603</v>
      </c>
      <c r="C230" s="45" t="s">
        <v>316</v>
      </c>
      <c r="D230" s="32">
        <v>3100</v>
      </c>
    </row>
    <row r="231" spans="2:4" x14ac:dyDescent="0.35">
      <c r="B231" s="34">
        <v>31605</v>
      </c>
      <c r="C231" s="45" t="s">
        <v>317</v>
      </c>
      <c r="D231" s="32">
        <v>2430</v>
      </c>
    </row>
    <row r="232" spans="2:4" x14ac:dyDescent="0.35">
      <c r="B232" s="34">
        <v>31606</v>
      </c>
      <c r="C232" s="45" t="s">
        <v>318</v>
      </c>
      <c r="D232" s="32">
        <v>1900</v>
      </c>
    </row>
    <row r="233" spans="2:4" x14ac:dyDescent="0.35">
      <c r="B233" s="34">
        <v>31607</v>
      </c>
      <c r="C233" s="45" t="s">
        <v>319</v>
      </c>
      <c r="D233" s="32">
        <v>4170</v>
      </c>
    </row>
    <row r="234" spans="2:4" x14ac:dyDescent="0.35">
      <c r="B234" s="34">
        <v>31608</v>
      </c>
      <c r="C234" s="45" t="s">
        <v>320</v>
      </c>
      <c r="D234" s="32">
        <v>1000</v>
      </c>
    </row>
    <row r="235" spans="2:4" x14ac:dyDescent="0.35">
      <c r="B235" s="34">
        <v>31701</v>
      </c>
      <c r="C235" s="45" t="s">
        <v>321</v>
      </c>
      <c r="D235" s="32">
        <v>9520</v>
      </c>
    </row>
    <row r="236" spans="2:4" x14ac:dyDescent="0.35">
      <c r="B236" s="34">
        <v>31801</v>
      </c>
      <c r="C236" s="45" t="s">
        <v>322</v>
      </c>
      <c r="D236" s="32">
        <v>1320</v>
      </c>
    </row>
    <row r="237" spans="2:4" x14ac:dyDescent="0.35">
      <c r="B237" s="34">
        <v>31802</v>
      </c>
      <c r="C237" s="45" t="s">
        <v>323</v>
      </c>
      <c r="D237" s="32">
        <v>13320</v>
      </c>
    </row>
    <row r="238" spans="2:4" x14ac:dyDescent="0.35">
      <c r="B238" s="34">
        <v>31901</v>
      </c>
      <c r="C238" s="45" t="s">
        <v>324</v>
      </c>
      <c r="D238" s="32">
        <v>4620</v>
      </c>
    </row>
    <row r="239" spans="2:4" x14ac:dyDescent="0.35">
      <c r="B239" s="34">
        <v>31902</v>
      </c>
      <c r="C239" s="45" t="s">
        <v>325</v>
      </c>
      <c r="D239" s="32">
        <v>1410</v>
      </c>
    </row>
    <row r="240" spans="2:4" x14ac:dyDescent="0.35">
      <c r="B240" s="34">
        <v>31903</v>
      </c>
      <c r="C240" s="45" t="s">
        <v>326</v>
      </c>
      <c r="D240" s="32">
        <v>2170</v>
      </c>
    </row>
    <row r="241" spans="2:4" x14ac:dyDescent="0.35">
      <c r="B241" s="34">
        <v>31904</v>
      </c>
      <c r="C241" s="45" t="s">
        <v>327</v>
      </c>
      <c r="D241" s="32">
        <v>2970</v>
      </c>
    </row>
    <row r="242" spans="2:4" x14ac:dyDescent="0.35">
      <c r="B242" s="34">
        <v>31905</v>
      </c>
      <c r="C242" s="45" t="s">
        <v>328</v>
      </c>
      <c r="D242" s="32">
        <v>1410</v>
      </c>
    </row>
    <row r="243" spans="2:4" x14ac:dyDescent="0.35">
      <c r="B243" s="34">
        <v>40101</v>
      </c>
      <c r="C243" s="45" t="s">
        <v>329</v>
      </c>
      <c r="D243" s="32">
        <v>2350</v>
      </c>
    </row>
    <row r="244" spans="2:4" x14ac:dyDescent="0.35">
      <c r="B244" s="34">
        <v>40102</v>
      </c>
      <c r="C244" s="45" t="s">
        <v>330</v>
      </c>
      <c r="D244" s="32">
        <v>4270</v>
      </c>
    </row>
    <row r="245" spans="2:4" x14ac:dyDescent="0.35">
      <c r="B245" s="34">
        <v>40103</v>
      </c>
      <c r="C245" s="45" t="s">
        <v>331</v>
      </c>
      <c r="D245" s="32">
        <v>2840</v>
      </c>
    </row>
    <row r="246" spans="2:4" x14ac:dyDescent="0.35">
      <c r="B246" s="34">
        <v>40104</v>
      </c>
      <c r="C246" s="45" t="s">
        <v>332</v>
      </c>
      <c r="D246" s="32">
        <v>2960</v>
      </c>
    </row>
    <row r="247" spans="2:4" x14ac:dyDescent="0.35">
      <c r="B247" s="34">
        <v>40105</v>
      </c>
      <c r="C247" s="45" t="s">
        <v>333</v>
      </c>
      <c r="D247" s="32">
        <v>3880</v>
      </c>
    </row>
    <row r="248" spans="2:4" x14ac:dyDescent="0.35">
      <c r="B248" s="34">
        <v>40106</v>
      </c>
      <c r="C248" s="45" t="s">
        <v>334</v>
      </c>
      <c r="D248" s="32">
        <v>2790</v>
      </c>
    </row>
    <row r="249" spans="2:4" x14ac:dyDescent="0.35">
      <c r="B249" s="34">
        <v>40107</v>
      </c>
      <c r="C249" s="45" t="s">
        <v>335</v>
      </c>
      <c r="D249" s="32">
        <v>3170</v>
      </c>
    </row>
    <row r="250" spans="2:4" x14ac:dyDescent="0.35">
      <c r="B250" s="34">
        <v>40201</v>
      </c>
      <c r="C250" s="45" t="s">
        <v>336</v>
      </c>
      <c r="D250" s="32">
        <v>2190</v>
      </c>
    </row>
    <row r="251" spans="2:4" x14ac:dyDescent="0.35">
      <c r="B251" s="34">
        <v>40202</v>
      </c>
      <c r="C251" s="45" t="s">
        <v>337</v>
      </c>
      <c r="D251" s="32">
        <v>5880</v>
      </c>
    </row>
    <row r="252" spans="2:4" x14ac:dyDescent="0.35">
      <c r="B252" s="34">
        <v>40203</v>
      </c>
      <c r="C252" s="45" t="s">
        <v>338</v>
      </c>
      <c r="D252" s="32">
        <v>2940</v>
      </c>
    </row>
    <row r="253" spans="2:4" x14ac:dyDescent="0.35">
      <c r="B253" s="34">
        <v>40204</v>
      </c>
      <c r="C253" s="45" t="s">
        <v>339</v>
      </c>
      <c r="D253" s="32">
        <v>6310</v>
      </c>
    </row>
    <row r="254" spans="2:4" x14ac:dyDescent="0.35">
      <c r="B254" s="34">
        <v>40205</v>
      </c>
      <c r="C254" s="45" t="s">
        <v>340</v>
      </c>
      <c r="D254" s="32">
        <v>6030</v>
      </c>
    </row>
    <row r="255" spans="2:4" x14ac:dyDescent="0.35">
      <c r="B255" s="34">
        <v>40301</v>
      </c>
      <c r="C255" s="45" t="s">
        <v>341</v>
      </c>
      <c r="D255" s="32">
        <v>2800</v>
      </c>
    </row>
    <row r="256" spans="2:4" x14ac:dyDescent="0.35">
      <c r="B256" s="34">
        <v>40302</v>
      </c>
      <c r="C256" s="45" t="s">
        <v>342</v>
      </c>
      <c r="D256" s="32">
        <v>4000</v>
      </c>
    </row>
    <row r="257" spans="2:4" x14ac:dyDescent="0.35">
      <c r="B257" s="34">
        <v>40303</v>
      </c>
      <c r="C257" s="45" t="s">
        <v>343</v>
      </c>
      <c r="D257" s="32">
        <v>4610</v>
      </c>
    </row>
    <row r="258" spans="2:4" x14ac:dyDescent="0.35">
      <c r="B258" s="34">
        <v>40304</v>
      </c>
      <c r="C258" s="45" t="s">
        <v>344</v>
      </c>
      <c r="D258" s="32">
        <v>10120</v>
      </c>
    </row>
    <row r="259" spans="2:4" x14ac:dyDescent="0.35">
      <c r="B259" s="34">
        <v>40401</v>
      </c>
      <c r="C259" s="45" t="s">
        <v>345</v>
      </c>
      <c r="D259" s="32">
        <v>6000</v>
      </c>
    </row>
    <row r="260" spans="2:4" x14ac:dyDescent="0.35">
      <c r="B260" s="34">
        <v>40402</v>
      </c>
      <c r="C260" s="45" t="s">
        <v>346</v>
      </c>
      <c r="D260" s="32">
        <v>2450</v>
      </c>
    </row>
    <row r="261" spans="2:4" x14ac:dyDescent="0.35">
      <c r="B261" s="34">
        <v>40403</v>
      </c>
      <c r="C261" s="45" t="s">
        <v>347</v>
      </c>
      <c r="D261" s="32">
        <v>3600</v>
      </c>
    </row>
    <row r="262" spans="2:4" x14ac:dyDescent="0.35">
      <c r="B262" s="34">
        <v>40501</v>
      </c>
      <c r="C262" s="45" t="s">
        <v>348</v>
      </c>
      <c r="D262" s="32">
        <v>1600</v>
      </c>
    </row>
    <row r="263" spans="2:4" x14ac:dyDescent="0.35">
      <c r="B263" s="34">
        <v>40502</v>
      </c>
      <c r="C263" s="45" t="s">
        <v>349</v>
      </c>
      <c r="D263" s="34">
        <v>740</v>
      </c>
    </row>
    <row r="264" spans="2:4" x14ac:dyDescent="0.35">
      <c r="B264" s="34">
        <v>40503</v>
      </c>
      <c r="C264" s="45" t="s">
        <v>350</v>
      </c>
      <c r="D264" s="32">
        <v>1020</v>
      </c>
    </row>
    <row r="265" spans="2:4" x14ac:dyDescent="0.35">
      <c r="B265" s="34">
        <v>40504</v>
      </c>
      <c r="C265" s="45" t="s">
        <v>351</v>
      </c>
      <c r="D265" s="34">
        <v>560</v>
      </c>
    </row>
    <row r="266" spans="2:4" x14ac:dyDescent="0.35">
      <c r="B266" s="34">
        <v>40601</v>
      </c>
      <c r="C266" s="45" t="s">
        <v>352</v>
      </c>
      <c r="D266" s="32">
        <v>1950</v>
      </c>
    </row>
    <row r="267" spans="2:4" x14ac:dyDescent="0.35">
      <c r="B267" s="34">
        <v>40602</v>
      </c>
      <c r="C267" s="45" t="s">
        <v>353</v>
      </c>
      <c r="D267" s="34">
        <v>750</v>
      </c>
    </row>
    <row r="268" spans="2:4" x14ac:dyDescent="0.35">
      <c r="B268" s="34">
        <v>40701</v>
      </c>
      <c r="C268" s="45" t="s">
        <v>354</v>
      </c>
      <c r="D268" s="32">
        <v>1740</v>
      </c>
    </row>
    <row r="269" spans="2:4" x14ac:dyDescent="0.35">
      <c r="B269" s="34">
        <v>40702</v>
      </c>
      <c r="C269" s="45" t="s">
        <v>355</v>
      </c>
      <c r="D269" s="32">
        <v>2180</v>
      </c>
    </row>
    <row r="270" spans="2:4" x14ac:dyDescent="0.35">
      <c r="B270" s="34">
        <v>40703</v>
      </c>
      <c r="C270" s="45" t="s">
        <v>356</v>
      </c>
      <c r="D270" s="32">
        <v>2370</v>
      </c>
    </row>
    <row r="271" spans="2:4" x14ac:dyDescent="0.35">
      <c r="B271" s="34">
        <v>50101</v>
      </c>
      <c r="C271" s="45" t="s">
        <v>357</v>
      </c>
      <c r="D271" s="32">
        <v>3490</v>
      </c>
    </row>
    <row r="272" spans="2:4" x14ac:dyDescent="0.35">
      <c r="B272" s="34">
        <v>50102</v>
      </c>
      <c r="C272" s="45" t="s">
        <v>358</v>
      </c>
      <c r="D272" s="32">
        <v>3430</v>
      </c>
    </row>
    <row r="273" spans="2:4" x14ac:dyDescent="0.35">
      <c r="B273" s="34">
        <v>50103</v>
      </c>
      <c r="C273" s="45" t="s">
        <v>359</v>
      </c>
      <c r="D273" s="34">
        <v>410</v>
      </c>
    </row>
    <row r="274" spans="2:4" x14ac:dyDescent="0.35">
      <c r="B274" s="34">
        <v>50201</v>
      </c>
      <c r="C274" s="45" t="s">
        <v>360</v>
      </c>
      <c r="D274" s="32">
        <v>3620</v>
      </c>
    </row>
    <row r="275" spans="2:4" x14ac:dyDescent="0.35">
      <c r="B275" s="34">
        <v>50301</v>
      </c>
      <c r="C275" s="45" t="s">
        <v>361</v>
      </c>
      <c r="D275" s="32">
        <v>3280</v>
      </c>
    </row>
    <row r="276" spans="2:4" x14ac:dyDescent="0.35">
      <c r="B276" s="34">
        <v>50302</v>
      </c>
      <c r="C276" s="45" t="s">
        <v>362</v>
      </c>
      <c r="D276" s="32">
        <v>5830</v>
      </c>
    </row>
    <row r="277" spans="2:4" x14ac:dyDescent="0.35">
      <c r="B277" s="34">
        <v>50401</v>
      </c>
      <c r="C277" s="45" t="s">
        <v>363</v>
      </c>
      <c r="D277" s="32">
        <v>3440</v>
      </c>
    </row>
    <row r="278" spans="2:4" x14ac:dyDescent="0.35">
      <c r="B278" s="34">
        <v>50402</v>
      </c>
      <c r="C278" s="45" t="s">
        <v>364</v>
      </c>
      <c r="D278" s="32">
        <v>2020</v>
      </c>
    </row>
    <row r="279" spans="2:4" x14ac:dyDescent="0.35">
      <c r="B279" s="34">
        <v>50403</v>
      </c>
      <c r="C279" s="45" t="s">
        <v>365</v>
      </c>
      <c r="D279" s="32">
        <v>6140</v>
      </c>
    </row>
    <row r="280" spans="2:4" x14ac:dyDescent="0.35">
      <c r="B280" s="34">
        <v>50501</v>
      </c>
      <c r="C280" s="45" t="s">
        <v>366</v>
      </c>
      <c r="D280" s="32">
        <v>9540</v>
      </c>
    </row>
    <row r="281" spans="2:4" x14ac:dyDescent="0.35">
      <c r="B281" s="34">
        <v>50502</v>
      </c>
      <c r="C281" s="45" t="s">
        <v>367</v>
      </c>
      <c r="D281" s="32">
        <v>7900</v>
      </c>
    </row>
    <row r="282" spans="2:4" x14ac:dyDescent="0.35">
      <c r="B282" s="34">
        <v>50503</v>
      </c>
      <c r="C282" s="45" t="s">
        <v>368</v>
      </c>
      <c r="D282" s="32">
        <v>10040</v>
      </c>
    </row>
    <row r="283" spans="2:4" x14ac:dyDescent="0.35">
      <c r="B283" s="34">
        <v>50601</v>
      </c>
      <c r="C283" s="45" t="s">
        <v>369</v>
      </c>
      <c r="D283" s="32">
        <v>3640</v>
      </c>
    </row>
    <row r="284" spans="2:4" x14ac:dyDescent="0.35">
      <c r="B284" s="34">
        <v>50602</v>
      </c>
      <c r="C284" s="45" t="s">
        <v>370</v>
      </c>
      <c r="D284" s="32">
        <v>3100</v>
      </c>
    </row>
    <row r="285" spans="2:4" x14ac:dyDescent="0.35">
      <c r="B285" s="34">
        <v>50603</v>
      </c>
      <c r="C285" s="45" t="s">
        <v>371</v>
      </c>
      <c r="D285" s="32">
        <v>4150</v>
      </c>
    </row>
    <row r="286" spans="2:4" x14ac:dyDescent="0.35">
      <c r="B286" s="34">
        <v>50604</v>
      </c>
      <c r="C286" s="45" t="s">
        <v>372</v>
      </c>
      <c r="D286" s="32">
        <v>5240</v>
      </c>
    </row>
    <row r="287" spans="2:4" x14ac:dyDescent="0.35">
      <c r="B287" s="34">
        <v>50605</v>
      </c>
      <c r="C287" s="45" t="s">
        <v>373</v>
      </c>
      <c r="D287" s="32">
        <v>2310</v>
      </c>
    </row>
    <row r="288" spans="2:4" x14ac:dyDescent="0.35">
      <c r="B288" s="34">
        <v>50606</v>
      </c>
      <c r="C288" s="45" t="s">
        <v>374</v>
      </c>
      <c r="D288" s="32">
        <v>1180</v>
      </c>
    </row>
    <row r="289" spans="2:4" x14ac:dyDescent="0.35">
      <c r="B289" s="34">
        <v>50607</v>
      </c>
      <c r="C289" s="45" t="s">
        <v>375</v>
      </c>
      <c r="D289" s="32">
        <v>1850</v>
      </c>
    </row>
    <row r="290" spans="2:4" x14ac:dyDescent="0.35">
      <c r="B290" s="34">
        <v>50701</v>
      </c>
      <c r="C290" s="45" t="s">
        <v>376</v>
      </c>
      <c r="D290" s="32">
        <v>5120</v>
      </c>
    </row>
    <row r="291" spans="2:4" x14ac:dyDescent="0.35">
      <c r="B291" s="34">
        <v>50702</v>
      </c>
      <c r="C291" s="45" t="s">
        <v>377</v>
      </c>
      <c r="D291" s="32">
        <v>2320</v>
      </c>
    </row>
    <row r="292" spans="2:4" x14ac:dyDescent="0.35">
      <c r="B292" s="34">
        <v>50703</v>
      </c>
      <c r="C292" s="45" t="s">
        <v>378</v>
      </c>
      <c r="D292" s="32">
        <v>2750</v>
      </c>
    </row>
    <row r="293" spans="2:4" x14ac:dyDescent="0.35">
      <c r="B293" s="34">
        <v>50704</v>
      </c>
      <c r="C293" s="45" t="s">
        <v>379</v>
      </c>
      <c r="D293" s="32">
        <v>4180</v>
      </c>
    </row>
    <row r="294" spans="2:4" x14ac:dyDescent="0.35">
      <c r="B294" s="34">
        <v>50705</v>
      </c>
      <c r="C294" s="45" t="s">
        <v>380</v>
      </c>
      <c r="D294" s="32">
        <v>5930</v>
      </c>
    </row>
    <row r="295" spans="2:4" x14ac:dyDescent="0.35">
      <c r="B295" s="34">
        <v>50901</v>
      </c>
      <c r="C295" s="45" t="s">
        <v>381</v>
      </c>
      <c r="D295" s="32">
        <v>2110</v>
      </c>
    </row>
    <row r="296" spans="2:4" x14ac:dyDescent="0.35">
      <c r="B296" s="34">
        <v>50902</v>
      </c>
      <c r="C296" s="45" t="s">
        <v>382</v>
      </c>
      <c r="D296" s="34">
        <v>780</v>
      </c>
    </row>
    <row r="297" spans="2:4" x14ac:dyDescent="0.35">
      <c r="B297" s="34">
        <v>50903</v>
      </c>
      <c r="C297" s="45" t="s">
        <v>383</v>
      </c>
      <c r="D297" s="34">
        <v>670</v>
      </c>
    </row>
    <row r="298" spans="2:4" x14ac:dyDescent="0.35">
      <c r="B298" s="34">
        <v>51001</v>
      </c>
      <c r="C298" s="45" t="s">
        <v>384</v>
      </c>
      <c r="D298" s="32">
        <v>1140</v>
      </c>
    </row>
    <row r="299" spans="2:4" x14ac:dyDescent="0.35">
      <c r="B299" s="34">
        <v>51002</v>
      </c>
      <c r="C299" s="45" t="s">
        <v>385</v>
      </c>
      <c r="D299" s="34">
        <v>670</v>
      </c>
    </row>
    <row r="300" spans="2:4" x14ac:dyDescent="0.35">
      <c r="B300" s="34">
        <v>51003</v>
      </c>
      <c r="C300" s="45" t="s">
        <v>386</v>
      </c>
      <c r="D300" s="32">
        <v>1170</v>
      </c>
    </row>
    <row r="301" spans="2:4" x14ac:dyDescent="0.35">
      <c r="B301" s="34">
        <v>51101</v>
      </c>
      <c r="C301" s="45" t="s">
        <v>387</v>
      </c>
      <c r="D301" s="34">
        <v>370</v>
      </c>
    </row>
    <row r="302" spans="2:4" x14ac:dyDescent="0.35">
      <c r="B302" s="34">
        <v>51102</v>
      </c>
      <c r="C302" s="45" t="s">
        <v>388</v>
      </c>
      <c r="D302" s="34">
        <v>140</v>
      </c>
    </row>
    <row r="303" spans="2:4" x14ac:dyDescent="0.35">
      <c r="B303" s="34">
        <v>51103</v>
      </c>
      <c r="C303" s="45" t="s">
        <v>389</v>
      </c>
      <c r="D303" s="32">
        <v>1380</v>
      </c>
    </row>
    <row r="304" spans="2:4" x14ac:dyDescent="0.35">
      <c r="B304" s="34">
        <v>51104</v>
      </c>
      <c r="C304" s="45" t="s">
        <v>390</v>
      </c>
      <c r="D304" s="32">
        <v>1510</v>
      </c>
    </row>
    <row r="305" spans="2:4" x14ac:dyDescent="0.35">
      <c r="B305" s="34">
        <v>60101</v>
      </c>
      <c r="C305" s="45" t="s">
        <v>391</v>
      </c>
      <c r="D305" s="34">
        <v>880</v>
      </c>
    </row>
    <row r="306" spans="2:4" x14ac:dyDescent="0.35">
      <c r="B306" s="34">
        <v>60102</v>
      </c>
      <c r="C306" s="45" t="s">
        <v>392</v>
      </c>
      <c r="D306" s="32">
        <v>2970</v>
      </c>
    </row>
    <row r="307" spans="2:4" x14ac:dyDescent="0.35">
      <c r="B307" s="34">
        <v>60103</v>
      </c>
      <c r="C307" s="45" t="s">
        <v>393</v>
      </c>
      <c r="D307" s="32">
        <v>2120</v>
      </c>
    </row>
    <row r="308" spans="2:4" x14ac:dyDescent="0.35">
      <c r="B308" s="34">
        <v>60104</v>
      </c>
      <c r="C308" s="45" t="s">
        <v>394</v>
      </c>
      <c r="D308" s="32">
        <v>1950</v>
      </c>
    </row>
    <row r="309" spans="2:4" x14ac:dyDescent="0.35">
      <c r="B309" s="34">
        <v>60105</v>
      </c>
      <c r="C309" s="45" t="s">
        <v>395</v>
      </c>
      <c r="D309" s="32">
        <v>4840</v>
      </c>
    </row>
    <row r="310" spans="2:4" x14ac:dyDescent="0.35">
      <c r="B310" s="34">
        <v>60106</v>
      </c>
      <c r="C310" s="45" t="s">
        <v>396</v>
      </c>
      <c r="D310" s="34">
        <v>440</v>
      </c>
    </row>
    <row r="311" spans="2:4" x14ac:dyDescent="0.35">
      <c r="B311" s="34">
        <v>60201</v>
      </c>
      <c r="C311" s="45" t="s">
        <v>397</v>
      </c>
      <c r="D311" s="32">
        <v>4560</v>
      </c>
    </row>
    <row r="312" spans="2:4" x14ac:dyDescent="0.35">
      <c r="B312" s="34">
        <v>60202</v>
      </c>
      <c r="C312" s="45" t="s">
        <v>398</v>
      </c>
      <c r="D312" s="34">
        <v>400</v>
      </c>
    </row>
    <row r="313" spans="2:4" x14ac:dyDescent="0.35">
      <c r="B313" s="34">
        <v>60203</v>
      </c>
      <c r="C313" s="45" t="s">
        <v>399</v>
      </c>
      <c r="D313" s="34">
        <v>680</v>
      </c>
    </row>
    <row r="314" spans="2:4" x14ac:dyDescent="0.35">
      <c r="B314" s="34">
        <v>60301</v>
      </c>
      <c r="C314" s="45" t="s">
        <v>400</v>
      </c>
      <c r="D314" s="34">
        <v>80</v>
      </c>
    </row>
    <row r="315" spans="2:4" x14ac:dyDescent="0.35">
      <c r="B315" s="34">
        <v>60302</v>
      </c>
      <c r="C315" s="45" t="s">
        <v>401</v>
      </c>
      <c r="D315" s="34">
        <v>420</v>
      </c>
    </row>
    <row r="316" spans="2:4" x14ac:dyDescent="0.35">
      <c r="B316" s="34">
        <v>60303</v>
      </c>
      <c r="C316" s="45" t="s">
        <v>402</v>
      </c>
      <c r="D316" s="34">
        <v>120</v>
      </c>
    </row>
    <row r="317" spans="2:4" x14ac:dyDescent="0.35">
      <c r="B317" s="34">
        <v>60401</v>
      </c>
      <c r="C317" s="45" t="s">
        <v>403</v>
      </c>
      <c r="D317" s="32">
        <v>2650</v>
      </c>
    </row>
    <row r="318" spans="2:4" x14ac:dyDescent="0.35">
      <c r="B318" s="34">
        <v>60402</v>
      </c>
      <c r="C318" s="45" t="s">
        <v>404</v>
      </c>
      <c r="D318" s="32">
        <v>1840</v>
      </c>
    </row>
    <row r="319" spans="2:4" x14ac:dyDescent="0.35">
      <c r="B319" s="34">
        <v>60403</v>
      </c>
      <c r="C319" s="45" t="s">
        <v>405</v>
      </c>
      <c r="D319" s="34">
        <v>490</v>
      </c>
    </row>
    <row r="320" spans="2:4" x14ac:dyDescent="0.35">
      <c r="B320" s="34">
        <v>70101</v>
      </c>
      <c r="C320" s="45" t="s">
        <v>406</v>
      </c>
      <c r="D320" s="32">
        <v>1540</v>
      </c>
    </row>
    <row r="321" spans="2:4" x14ac:dyDescent="0.35">
      <c r="B321" s="34">
        <v>70102</v>
      </c>
      <c r="C321" s="45" t="s">
        <v>407</v>
      </c>
      <c r="D321" s="32">
        <v>3440</v>
      </c>
    </row>
    <row r="322" spans="2:4" x14ac:dyDescent="0.35">
      <c r="B322" s="34">
        <v>70103</v>
      </c>
      <c r="C322" s="45" t="s">
        <v>408</v>
      </c>
      <c r="D322" s="32">
        <v>1260</v>
      </c>
    </row>
    <row r="323" spans="2:4" x14ac:dyDescent="0.35">
      <c r="B323" s="34">
        <v>70104</v>
      </c>
      <c r="C323" s="45" t="s">
        <v>409</v>
      </c>
      <c r="D323" s="32">
        <v>2640</v>
      </c>
    </row>
    <row r="324" spans="2:4" x14ac:dyDescent="0.35">
      <c r="B324" s="34">
        <v>70201</v>
      </c>
      <c r="C324" s="45" t="s">
        <v>410</v>
      </c>
      <c r="D324" s="32">
        <v>1130</v>
      </c>
    </row>
    <row r="325" spans="2:4" x14ac:dyDescent="0.35">
      <c r="B325" s="34">
        <v>70202</v>
      </c>
      <c r="C325" s="45" t="s">
        <v>411</v>
      </c>
      <c r="D325" s="34">
        <v>50</v>
      </c>
    </row>
    <row r="326" spans="2:4" x14ac:dyDescent="0.35">
      <c r="B326" s="34">
        <v>70203</v>
      </c>
      <c r="C326" s="45" t="s">
        <v>412</v>
      </c>
      <c r="D326" s="34">
        <v>40</v>
      </c>
    </row>
    <row r="327" spans="2:4" x14ac:dyDescent="0.35">
      <c r="B327" s="34">
        <v>70204</v>
      </c>
      <c r="C327" s="45" t="s">
        <v>413</v>
      </c>
      <c r="D327" s="34">
        <v>400</v>
      </c>
    </row>
    <row r="328" spans="2:4" x14ac:dyDescent="0.35">
      <c r="B328" s="34">
        <v>70205</v>
      </c>
      <c r="C328" s="45" t="s">
        <v>414</v>
      </c>
      <c r="D328" s="34">
        <v>530</v>
      </c>
    </row>
    <row r="329" spans="2:4" x14ac:dyDescent="0.35">
      <c r="B329" s="34">
        <v>80101</v>
      </c>
      <c r="C329" s="45" t="s">
        <v>415</v>
      </c>
      <c r="D329" s="32">
        <v>6650</v>
      </c>
    </row>
    <row r="330" spans="2:4" x14ac:dyDescent="0.35">
      <c r="B330" s="34">
        <v>80103</v>
      </c>
      <c r="C330" s="45" t="s">
        <v>416</v>
      </c>
      <c r="D330" s="34">
        <v>710</v>
      </c>
    </row>
    <row r="331" spans="2:4" x14ac:dyDescent="0.35">
      <c r="B331" s="34">
        <v>80104</v>
      </c>
      <c r="C331" s="45" t="s">
        <v>417</v>
      </c>
      <c r="D331" s="32">
        <v>6020</v>
      </c>
    </row>
    <row r="332" spans="2:4" x14ac:dyDescent="0.35">
      <c r="B332" s="34">
        <v>80105</v>
      </c>
      <c r="C332" s="45" t="s">
        <v>418</v>
      </c>
      <c r="D332" s="32">
        <v>4640</v>
      </c>
    </row>
    <row r="333" spans="2:4" x14ac:dyDescent="0.35">
      <c r="B333" s="34">
        <v>80106</v>
      </c>
      <c r="C333" s="45" t="s">
        <v>419</v>
      </c>
      <c r="D333" s="32">
        <v>4110</v>
      </c>
    </row>
    <row r="334" spans="2:4" x14ac:dyDescent="0.35">
      <c r="B334" s="34">
        <v>80107</v>
      </c>
      <c r="C334" s="45" t="s">
        <v>420</v>
      </c>
      <c r="D334" s="32">
        <v>5770</v>
      </c>
    </row>
    <row r="335" spans="2:4" x14ac:dyDescent="0.35">
      <c r="B335" s="34">
        <v>80108</v>
      </c>
      <c r="C335" s="45" t="s">
        <v>421</v>
      </c>
      <c r="D335" s="32">
        <v>1700</v>
      </c>
    </row>
    <row r="336" spans="2:4" x14ac:dyDescent="0.35">
      <c r="B336" s="34">
        <v>80109</v>
      </c>
      <c r="C336" s="45" t="s">
        <v>422</v>
      </c>
      <c r="D336" s="32">
        <v>3140</v>
      </c>
    </row>
    <row r="337" spans="2:4" x14ac:dyDescent="0.35">
      <c r="B337" s="34">
        <v>80110</v>
      </c>
      <c r="C337" s="45" t="s">
        <v>423</v>
      </c>
      <c r="D337" s="34">
        <v>260</v>
      </c>
    </row>
    <row r="338" spans="2:4" x14ac:dyDescent="0.35">
      <c r="B338" s="34">
        <v>90101</v>
      </c>
      <c r="C338" s="45" t="s">
        <v>424</v>
      </c>
      <c r="D338" s="34">
        <v>40</v>
      </c>
    </row>
    <row r="339" spans="2:4" x14ac:dyDescent="0.35">
      <c r="B339" s="34">
        <v>90103</v>
      </c>
      <c r="C339" s="45" t="s">
        <v>425</v>
      </c>
      <c r="D339" s="34">
        <v>50</v>
      </c>
    </row>
    <row r="340" spans="2:4" x14ac:dyDescent="0.35">
      <c r="B340" s="69" t="s">
        <v>15</v>
      </c>
      <c r="C340" s="69"/>
      <c r="D340" s="36">
        <v>1316080</v>
      </c>
    </row>
    <row r="341" spans="2:4" x14ac:dyDescent="0.35">
      <c r="B341" s="6" t="s">
        <v>50</v>
      </c>
    </row>
    <row r="342" spans="2:4" x14ac:dyDescent="0.35">
      <c r="B342" s="6" t="s">
        <v>51</v>
      </c>
    </row>
  </sheetData>
  <mergeCells count="1">
    <mergeCell ref="B340:C340"/>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K17"/>
  <sheetViews>
    <sheetView workbookViewId="0"/>
  </sheetViews>
  <sheetFormatPr defaultColWidth="9.1796875" defaultRowHeight="14.5" x14ac:dyDescent="0.35"/>
  <cols>
    <col min="2" max="2" width="32.1796875" customWidth="1"/>
  </cols>
  <sheetData>
    <row r="2" spans="2:11" ht="18.5" x14ac:dyDescent="0.45">
      <c r="B2" s="7" t="s">
        <v>36</v>
      </c>
    </row>
    <row r="5" spans="2:11" ht="15" customHeight="1" x14ac:dyDescent="0.35">
      <c r="B5" s="26" t="s">
        <v>78</v>
      </c>
      <c r="C5" s="21"/>
      <c r="D5" s="21"/>
      <c r="E5" s="21"/>
      <c r="F5" s="21"/>
      <c r="G5" s="21"/>
      <c r="H5" s="21"/>
      <c r="I5" s="21"/>
      <c r="J5" s="21"/>
      <c r="K5" s="21"/>
    </row>
    <row r="6" spans="2:11" x14ac:dyDescent="0.35">
      <c r="B6" s="30"/>
      <c r="C6" s="35" t="s">
        <v>37</v>
      </c>
      <c r="D6" s="35" t="s">
        <v>38</v>
      </c>
      <c r="E6" s="35" t="s">
        <v>39</v>
      </c>
      <c r="F6" s="35" t="s">
        <v>40</v>
      </c>
      <c r="G6" s="35" t="s">
        <v>41</v>
      </c>
      <c r="H6" s="35" t="s">
        <v>42</v>
      </c>
      <c r="I6" s="35" t="s">
        <v>43</v>
      </c>
      <c r="J6" s="35" t="s">
        <v>44</v>
      </c>
      <c r="K6" s="35" t="s">
        <v>45</v>
      </c>
    </row>
    <row r="7" spans="2:11" x14ac:dyDescent="0.35">
      <c r="B7" s="10" t="s">
        <v>46</v>
      </c>
      <c r="C7" s="46">
        <v>29.4</v>
      </c>
      <c r="D7" s="46">
        <v>29.4</v>
      </c>
      <c r="E7" s="46">
        <v>31.4</v>
      </c>
      <c r="F7" s="46">
        <v>26.4</v>
      </c>
      <c r="G7" s="46">
        <v>26.4</v>
      </c>
      <c r="H7" s="46">
        <v>23.9</v>
      </c>
      <c r="I7" s="46">
        <v>36.200000000000003</v>
      </c>
      <c r="J7" s="46">
        <v>30.8</v>
      </c>
      <c r="K7" s="46">
        <v>29.5</v>
      </c>
    </row>
    <row r="8" spans="2:11" x14ac:dyDescent="0.35">
      <c r="B8" s="10" t="s">
        <v>47</v>
      </c>
      <c r="C8" s="46">
        <v>25.5</v>
      </c>
      <c r="D8" s="46">
        <v>26.3</v>
      </c>
      <c r="E8" s="46">
        <v>24.4</v>
      </c>
      <c r="F8" s="46">
        <v>20</v>
      </c>
      <c r="G8" s="46">
        <v>24.2</v>
      </c>
      <c r="H8" s="46">
        <v>15.1</v>
      </c>
      <c r="I8" s="46">
        <v>29.7</v>
      </c>
      <c r="J8" s="46">
        <v>26.2</v>
      </c>
      <c r="K8" s="46">
        <v>25</v>
      </c>
    </row>
    <row r="9" spans="2:11" x14ac:dyDescent="0.35">
      <c r="B9" s="10" t="s">
        <v>48</v>
      </c>
      <c r="C9" s="46">
        <v>12.2</v>
      </c>
      <c r="D9" s="46">
        <v>8.9</v>
      </c>
      <c r="E9" s="46">
        <v>13.3</v>
      </c>
      <c r="F9" s="46">
        <v>11.6</v>
      </c>
      <c r="G9" s="46">
        <v>11.8</v>
      </c>
      <c r="H9" s="46">
        <v>9.5</v>
      </c>
      <c r="I9" s="46">
        <v>16.8</v>
      </c>
      <c r="J9" s="46">
        <v>10.8</v>
      </c>
      <c r="K9" s="46">
        <v>11.6</v>
      </c>
    </row>
    <row r="10" spans="2:11" ht="16.5" x14ac:dyDescent="0.35">
      <c r="B10" s="11" t="s">
        <v>447</v>
      </c>
      <c r="C10" s="47">
        <v>24.9</v>
      </c>
      <c r="D10" s="47">
        <v>24.4</v>
      </c>
      <c r="E10" s="47">
        <v>26.3</v>
      </c>
      <c r="F10" s="47">
        <v>21.2</v>
      </c>
      <c r="G10" s="47">
        <v>23.2</v>
      </c>
      <c r="H10" s="47">
        <v>19.399999999999999</v>
      </c>
      <c r="I10" s="47">
        <v>30.3</v>
      </c>
      <c r="J10" s="47">
        <v>23.8</v>
      </c>
      <c r="K10" s="47">
        <v>24.7</v>
      </c>
    </row>
    <row r="11" spans="2:11" x14ac:dyDescent="0.35">
      <c r="B11" s="6" t="s">
        <v>86</v>
      </c>
      <c r="C11" s="62"/>
      <c r="D11" s="62"/>
      <c r="E11" s="62"/>
      <c r="F11" s="62"/>
      <c r="G11" s="62"/>
      <c r="H11" s="62"/>
      <c r="I11" s="62"/>
      <c r="J11" s="62"/>
      <c r="K11" s="62"/>
    </row>
    <row r="12" spans="2:11" x14ac:dyDescent="0.35">
      <c r="B12" s="6" t="s">
        <v>51</v>
      </c>
    </row>
    <row r="17" ht="15" customHeight="1" x14ac:dyDescent="0.3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3:D14"/>
  <sheetViews>
    <sheetView workbookViewId="0">
      <selection activeCell="B13" sqref="B13"/>
    </sheetView>
  </sheetViews>
  <sheetFormatPr defaultColWidth="9.1796875" defaultRowHeight="14.5" x14ac:dyDescent="0.35"/>
  <cols>
    <col min="2" max="2" width="30.7265625" customWidth="1"/>
    <col min="3" max="4" width="14.54296875" customWidth="1"/>
  </cols>
  <sheetData>
    <row r="3" spans="2:4" ht="18.5" x14ac:dyDescent="0.45">
      <c r="B3" s="7" t="s">
        <v>52</v>
      </c>
    </row>
    <row r="6" spans="2:4" ht="15.5" x14ac:dyDescent="0.35">
      <c r="B6" s="26" t="s">
        <v>428</v>
      </c>
      <c r="C6" s="21"/>
    </row>
    <row r="7" spans="2:4" ht="29" x14ac:dyDescent="0.35">
      <c r="B7" s="30"/>
      <c r="C7" s="48" t="s">
        <v>426</v>
      </c>
      <c r="D7" s="48" t="s">
        <v>427</v>
      </c>
    </row>
    <row r="8" spans="2:4" x14ac:dyDescent="0.35">
      <c r="B8" s="22" t="s">
        <v>53</v>
      </c>
      <c r="C8" s="23">
        <v>11140</v>
      </c>
      <c r="D8" s="23">
        <v>7490</v>
      </c>
    </row>
    <row r="9" spans="2:4" x14ac:dyDescent="0.35">
      <c r="B9" s="22" t="s">
        <v>54</v>
      </c>
      <c r="C9" s="23">
        <v>4760</v>
      </c>
      <c r="D9" s="23">
        <v>3350</v>
      </c>
    </row>
    <row r="10" spans="2:4" x14ac:dyDescent="0.35">
      <c r="B10" s="22" t="s">
        <v>55</v>
      </c>
      <c r="C10" s="23">
        <v>1990</v>
      </c>
      <c r="D10" s="23">
        <v>1310</v>
      </c>
    </row>
    <row r="11" spans="2:4" x14ac:dyDescent="0.35">
      <c r="B11" s="22" t="s">
        <v>56</v>
      </c>
      <c r="C11" s="23">
        <v>9720</v>
      </c>
      <c r="D11" s="23">
        <v>6320</v>
      </c>
    </row>
    <row r="12" spans="2:4" x14ac:dyDescent="0.35">
      <c r="B12" s="12" t="s">
        <v>20</v>
      </c>
      <c r="C12" s="9">
        <v>27180</v>
      </c>
      <c r="D12" s="9">
        <v>18150</v>
      </c>
    </row>
    <row r="13" spans="2:4" x14ac:dyDescent="0.35">
      <c r="B13" s="14" t="s">
        <v>429</v>
      </c>
    </row>
    <row r="14" spans="2:4" x14ac:dyDescent="0.35">
      <c r="B14" s="6" t="s">
        <v>51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3:K342"/>
  <sheetViews>
    <sheetView tabSelected="1" topLeftCell="C297" workbookViewId="0">
      <selection activeCell="A6" sqref="A6"/>
    </sheetView>
  </sheetViews>
  <sheetFormatPr defaultRowHeight="14.5" x14ac:dyDescent="0.35"/>
  <cols>
    <col min="3" max="3" width="38.1796875" bestFit="1" customWidth="1"/>
    <col min="4" max="4" width="25.1796875" bestFit="1" customWidth="1"/>
    <col min="5" max="5" width="9" bestFit="1" customWidth="1"/>
    <col min="6" max="6" width="34.26953125" bestFit="1" customWidth="1"/>
    <col min="7" max="7" width="21.1796875" bestFit="1" customWidth="1"/>
    <col min="8" max="8" width="25" bestFit="1" customWidth="1"/>
    <col min="9" max="9" width="41.7265625" bestFit="1" customWidth="1"/>
    <col min="10" max="10" width="33.81640625" bestFit="1" customWidth="1"/>
    <col min="11" max="11" width="23.7265625" bestFit="1" customWidth="1"/>
  </cols>
  <sheetData>
    <row r="3" spans="1:11" ht="18.5" x14ac:dyDescent="0.45">
      <c r="B3" s="7" t="s">
        <v>549</v>
      </c>
    </row>
    <row r="6" spans="1:11" ht="15.5" x14ac:dyDescent="0.35">
      <c r="A6" t="e" cm="1" vm="1">
        <f t="array" aca="1" ref="A6" ca="1">B7:K340</f>
        <v>#VALUE!</v>
      </c>
      <c r="B6" s="26" t="s">
        <v>551</v>
      </c>
    </row>
    <row r="7" spans="1:11" x14ac:dyDescent="0.35">
      <c r="B7" s="30" t="s">
        <v>448</v>
      </c>
      <c r="C7" s="30" t="s">
        <v>449</v>
      </c>
      <c r="D7" s="30" t="s">
        <v>450</v>
      </c>
      <c r="E7" s="30" t="s">
        <v>451</v>
      </c>
      <c r="F7" s="30" t="s">
        <v>452</v>
      </c>
      <c r="G7" s="30" t="s">
        <v>453</v>
      </c>
      <c r="H7" s="30" t="s">
        <v>454</v>
      </c>
      <c r="I7" s="30" t="s">
        <v>455</v>
      </c>
      <c r="J7" s="30" t="s">
        <v>456</v>
      </c>
      <c r="K7" s="30" t="s">
        <v>457</v>
      </c>
    </row>
    <row r="8" spans="1:11" x14ac:dyDescent="0.35">
      <c r="B8" s="22">
        <v>101</v>
      </c>
      <c r="C8" s="22" t="s">
        <v>458</v>
      </c>
      <c r="D8" s="22" t="s">
        <v>459</v>
      </c>
      <c r="E8" s="22">
        <v>10102</v>
      </c>
      <c r="F8" s="63" t="s">
        <v>93</v>
      </c>
      <c r="G8" s="34">
        <v>15</v>
      </c>
      <c r="H8" s="64">
        <v>10.46</v>
      </c>
      <c r="I8" s="65">
        <v>2.7999999999999997E-2</v>
      </c>
      <c r="J8" s="34"/>
      <c r="K8" s="22"/>
    </row>
    <row r="9" spans="1:11" x14ac:dyDescent="0.35">
      <c r="B9" s="22">
        <v>101</v>
      </c>
      <c r="C9" s="22" t="s">
        <v>458</v>
      </c>
      <c r="D9" s="22" t="s">
        <v>459</v>
      </c>
      <c r="E9" s="22">
        <v>10103</v>
      </c>
      <c r="F9" s="63" t="s">
        <v>94</v>
      </c>
      <c r="G9" s="34">
        <v>7</v>
      </c>
      <c r="H9" s="64">
        <v>8.1300000000000008</v>
      </c>
      <c r="I9" s="65">
        <v>0.06</v>
      </c>
      <c r="J9" s="34"/>
      <c r="K9" s="22"/>
    </row>
    <row r="10" spans="1:11" x14ac:dyDescent="0.35">
      <c r="B10" s="22">
        <v>101</v>
      </c>
      <c r="C10" s="22" t="s">
        <v>458</v>
      </c>
      <c r="D10" s="22" t="s">
        <v>459</v>
      </c>
      <c r="E10" s="22">
        <v>10104</v>
      </c>
      <c r="F10" s="63" t="s">
        <v>95</v>
      </c>
      <c r="G10" s="34">
        <v>22</v>
      </c>
      <c r="H10" s="64">
        <v>9.07</v>
      </c>
      <c r="I10" s="65">
        <v>0.08</v>
      </c>
      <c r="J10" s="34"/>
      <c r="K10" s="22"/>
    </row>
    <row r="11" spans="1:11" x14ac:dyDescent="0.35">
      <c r="B11" s="22">
        <v>101</v>
      </c>
      <c r="C11" s="22" t="s">
        <v>458</v>
      </c>
      <c r="D11" s="22" t="s">
        <v>459</v>
      </c>
      <c r="E11" s="22">
        <v>10105</v>
      </c>
      <c r="F11" s="63" t="s">
        <v>96</v>
      </c>
      <c r="G11" s="34">
        <v>13</v>
      </c>
      <c r="H11" s="64">
        <v>8.6199999999999992</v>
      </c>
      <c r="I11" s="65">
        <v>6.6000000000000003E-2</v>
      </c>
      <c r="J11" s="34">
        <v>1</v>
      </c>
      <c r="K11" s="66">
        <v>7.6923076923076927E-2</v>
      </c>
    </row>
    <row r="12" spans="1:11" x14ac:dyDescent="0.35">
      <c r="B12" s="22">
        <v>101</v>
      </c>
      <c r="C12" s="22" t="s">
        <v>458</v>
      </c>
      <c r="D12" s="22" t="s">
        <v>459</v>
      </c>
      <c r="E12" s="22">
        <v>10106</v>
      </c>
      <c r="F12" s="63" t="s">
        <v>97</v>
      </c>
      <c r="G12" s="34">
        <v>13</v>
      </c>
      <c r="H12" s="64">
        <v>9.48</v>
      </c>
      <c r="I12" s="65">
        <v>7.0000000000000007E-2</v>
      </c>
      <c r="J12" s="34">
        <v>1</v>
      </c>
      <c r="K12" s="66">
        <v>7.6923076923076927E-2</v>
      </c>
    </row>
    <row r="13" spans="1:11" x14ac:dyDescent="0.35">
      <c r="B13" s="22">
        <v>102</v>
      </c>
      <c r="C13" s="22" t="s">
        <v>460</v>
      </c>
      <c r="D13" s="22" t="s">
        <v>459</v>
      </c>
      <c r="E13" s="22">
        <v>10201</v>
      </c>
      <c r="F13" s="63" t="s">
        <v>98</v>
      </c>
      <c r="G13" s="34">
        <v>67</v>
      </c>
      <c r="H13" s="64">
        <v>9.26</v>
      </c>
      <c r="I13" s="65">
        <v>0.04</v>
      </c>
      <c r="J13" s="34">
        <v>1</v>
      </c>
      <c r="K13" s="66">
        <v>1.4925373134328358E-2</v>
      </c>
    </row>
    <row r="14" spans="1:11" x14ac:dyDescent="0.35">
      <c r="B14" s="22">
        <v>102</v>
      </c>
      <c r="C14" s="22" t="s">
        <v>460</v>
      </c>
      <c r="D14" s="22" t="s">
        <v>459</v>
      </c>
      <c r="E14" s="22">
        <v>10202</v>
      </c>
      <c r="F14" s="63" t="s">
        <v>99</v>
      </c>
      <c r="G14" s="34">
        <v>56</v>
      </c>
      <c r="H14" s="64">
        <v>9.1199999999999992</v>
      </c>
      <c r="I14" s="65">
        <v>5.2999999999999999E-2</v>
      </c>
      <c r="J14" s="34"/>
      <c r="K14" s="22"/>
    </row>
    <row r="15" spans="1:11" x14ac:dyDescent="0.35">
      <c r="B15" s="22">
        <v>103</v>
      </c>
      <c r="C15" s="22" t="s">
        <v>461</v>
      </c>
      <c r="D15" s="22" t="s">
        <v>459</v>
      </c>
      <c r="E15" s="22">
        <v>10301</v>
      </c>
      <c r="F15" s="63" t="s">
        <v>100</v>
      </c>
      <c r="G15" s="34">
        <v>15</v>
      </c>
      <c r="H15" s="64">
        <v>9.42</v>
      </c>
      <c r="I15" s="65">
        <v>5.2999999999999999E-2</v>
      </c>
      <c r="J15" s="34"/>
      <c r="K15" s="22"/>
    </row>
    <row r="16" spans="1:11" x14ac:dyDescent="0.35">
      <c r="B16" s="22">
        <v>103</v>
      </c>
      <c r="C16" s="22" t="s">
        <v>461</v>
      </c>
      <c r="D16" s="22" t="s">
        <v>459</v>
      </c>
      <c r="E16" s="22">
        <v>10302</v>
      </c>
      <c r="F16" s="63" t="s">
        <v>101</v>
      </c>
      <c r="G16" s="34">
        <v>20</v>
      </c>
      <c r="H16" s="64">
        <v>8.25</v>
      </c>
      <c r="I16" s="65">
        <v>6.5000000000000002E-2</v>
      </c>
      <c r="J16" s="34"/>
      <c r="K16" s="22"/>
    </row>
    <row r="17" spans="2:11" x14ac:dyDescent="0.35">
      <c r="B17" s="22">
        <v>103</v>
      </c>
      <c r="C17" s="22" t="s">
        <v>461</v>
      </c>
      <c r="D17" s="22" t="s">
        <v>459</v>
      </c>
      <c r="E17" s="22">
        <v>10303</v>
      </c>
      <c r="F17" s="63" t="s">
        <v>102</v>
      </c>
      <c r="G17" s="34">
        <v>11</v>
      </c>
      <c r="H17" s="64">
        <v>9.17</v>
      </c>
      <c r="I17" s="65">
        <v>5.5999999999999994E-2</v>
      </c>
      <c r="J17" s="34"/>
      <c r="K17" s="22"/>
    </row>
    <row r="18" spans="2:11" x14ac:dyDescent="0.35">
      <c r="B18" s="22">
        <v>103</v>
      </c>
      <c r="C18" s="22" t="s">
        <v>461</v>
      </c>
      <c r="D18" s="22" t="s">
        <v>459</v>
      </c>
      <c r="E18" s="22">
        <v>10304</v>
      </c>
      <c r="F18" s="63" t="s">
        <v>103</v>
      </c>
      <c r="G18" s="34">
        <v>17</v>
      </c>
      <c r="H18" s="64">
        <v>9.36</v>
      </c>
      <c r="I18" s="65">
        <v>3.2000000000000001E-2</v>
      </c>
      <c r="J18" s="34"/>
      <c r="K18" s="22"/>
    </row>
    <row r="19" spans="2:11" x14ac:dyDescent="0.35">
      <c r="B19" s="22">
        <v>104</v>
      </c>
      <c r="C19" s="22" t="s">
        <v>462</v>
      </c>
      <c r="D19" s="22" t="s">
        <v>459</v>
      </c>
      <c r="E19" s="22">
        <v>10401</v>
      </c>
      <c r="F19" s="63" t="s">
        <v>104</v>
      </c>
      <c r="G19" s="34">
        <v>10</v>
      </c>
      <c r="H19" s="64">
        <v>8.82</v>
      </c>
      <c r="I19" s="65">
        <v>9.5000000000000001E-2</v>
      </c>
      <c r="J19" s="34"/>
      <c r="K19" s="22"/>
    </row>
    <row r="20" spans="2:11" x14ac:dyDescent="0.35">
      <c r="B20" s="22">
        <v>104</v>
      </c>
      <c r="C20" s="22" t="s">
        <v>462</v>
      </c>
      <c r="D20" s="22" t="s">
        <v>459</v>
      </c>
      <c r="E20" s="22">
        <v>10402</v>
      </c>
      <c r="F20" s="63" t="s">
        <v>105</v>
      </c>
      <c r="G20" s="34">
        <v>39</v>
      </c>
      <c r="H20" s="64">
        <v>9.1</v>
      </c>
      <c r="I20" s="65">
        <v>0.11</v>
      </c>
      <c r="J20" s="34">
        <v>1</v>
      </c>
      <c r="K20" s="66">
        <v>2.564102564102564E-2</v>
      </c>
    </row>
    <row r="21" spans="2:11" x14ac:dyDescent="0.35">
      <c r="B21" s="22">
        <v>105</v>
      </c>
      <c r="C21" s="22" t="s">
        <v>463</v>
      </c>
      <c r="D21" s="22" t="s">
        <v>459</v>
      </c>
      <c r="E21" s="22">
        <v>10501</v>
      </c>
      <c r="F21" s="63" t="s">
        <v>106</v>
      </c>
      <c r="G21" s="34">
        <v>10</v>
      </c>
      <c r="H21" s="64">
        <v>7.91</v>
      </c>
      <c r="I21" s="65">
        <v>-5.0999999999999997E-2</v>
      </c>
      <c r="J21" s="34"/>
      <c r="K21" s="22"/>
    </row>
    <row r="22" spans="2:11" x14ac:dyDescent="0.35">
      <c r="B22" s="22">
        <v>105</v>
      </c>
      <c r="C22" s="22" t="s">
        <v>463</v>
      </c>
      <c r="D22" s="22" t="s">
        <v>459</v>
      </c>
      <c r="E22" s="22">
        <v>10502</v>
      </c>
      <c r="F22" s="63" t="s">
        <v>107</v>
      </c>
      <c r="G22" s="34" t="s">
        <v>464</v>
      </c>
      <c r="H22" s="64"/>
      <c r="I22" s="65"/>
      <c r="J22" s="34"/>
      <c r="K22" s="22"/>
    </row>
    <row r="23" spans="2:11" x14ac:dyDescent="0.35">
      <c r="B23" s="22">
        <v>105</v>
      </c>
      <c r="C23" s="22" t="s">
        <v>463</v>
      </c>
      <c r="D23" s="22" t="s">
        <v>459</v>
      </c>
      <c r="E23" s="22">
        <v>10503</v>
      </c>
      <c r="F23" s="63" t="s">
        <v>108</v>
      </c>
      <c r="G23" s="34">
        <v>20</v>
      </c>
      <c r="H23" s="64">
        <v>8.5500000000000007</v>
      </c>
      <c r="I23" s="65">
        <v>6.0999999999999999E-2</v>
      </c>
      <c r="J23" s="34"/>
      <c r="K23" s="22"/>
    </row>
    <row r="24" spans="2:11" x14ac:dyDescent="0.35">
      <c r="B24" s="22">
        <v>106</v>
      </c>
      <c r="C24" s="22" t="s">
        <v>465</v>
      </c>
      <c r="D24" s="22" t="s">
        <v>459</v>
      </c>
      <c r="E24" s="22">
        <v>10601</v>
      </c>
      <c r="F24" s="63" t="s">
        <v>109</v>
      </c>
      <c r="G24" s="34">
        <v>23</v>
      </c>
      <c r="H24" s="64">
        <v>8.64</v>
      </c>
      <c r="I24" s="65">
        <v>2.7999999999999997E-2</v>
      </c>
      <c r="J24" s="34"/>
      <c r="K24" s="22"/>
    </row>
    <row r="25" spans="2:11" x14ac:dyDescent="0.35">
      <c r="B25" s="22">
        <v>106</v>
      </c>
      <c r="C25" s="22" t="s">
        <v>465</v>
      </c>
      <c r="D25" s="22" t="s">
        <v>459</v>
      </c>
      <c r="E25" s="22">
        <v>10602</v>
      </c>
      <c r="F25" s="63" t="s">
        <v>110</v>
      </c>
      <c r="G25" s="34">
        <v>35</v>
      </c>
      <c r="H25" s="64">
        <v>9.2100000000000009</v>
      </c>
      <c r="I25" s="65">
        <v>4.4000000000000004E-2</v>
      </c>
      <c r="J25" s="34"/>
      <c r="K25" s="22"/>
    </row>
    <row r="26" spans="2:11" x14ac:dyDescent="0.35">
      <c r="B26" s="22">
        <v>106</v>
      </c>
      <c r="C26" s="22" t="s">
        <v>465</v>
      </c>
      <c r="D26" s="22" t="s">
        <v>459</v>
      </c>
      <c r="E26" s="22">
        <v>10603</v>
      </c>
      <c r="F26" s="63" t="s">
        <v>111</v>
      </c>
      <c r="G26" s="34">
        <v>23</v>
      </c>
      <c r="H26" s="64">
        <v>9.48</v>
      </c>
      <c r="I26" s="65">
        <v>2.4E-2</v>
      </c>
      <c r="J26" s="34">
        <v>1</v>
      </c>
      <c r="K26" s="66">
        <v>4.3478260869565216E-2</v>
      </c>
    </row>
    <row r="27" spans="2:11" x14ac:dyDescent="0.35">
      <c r="B27" s="22">
        <v>106</v>
      </c>
      <c r="C27" s="22" t="s">
        <v>465</v>
      </c>
      <c r="D27" s="22" t="s">
        <v>459</v>
      </c>
      <c r="E27" s="22">
        <v>10604</v>
      </c>
      <c r="F27" s="63" t="s">
        <v>112</v>
      </c>
      <c r="G27" s="34">
        <v>5</v>
      </c>
      <c r="H27" s="64">
        <v>8.5299999999999994</v>
      </c>
      <c r="I27" s="65">
        <v>2.2000000000000002E-2</v>
      </c>
      <c r="J27" s="34"/>
      <c r="K27" s="22"/>
    </row>
    <row r="28" spans="2:11" x14ac:dyDescent="0.35">
      <c r="B28" s="22">
        <v>107</v>
      </c>
      <c r="C28" s="22" t="s">
        <v>466</v>
      </c>
      <c r="D28" s="22" t="s">
        <v>459</v>
      </c>
      <c r="E28" s="22">
        <v>10701</v>
      </c>
      <c r="F28" s="63" t="s">
        <v>113</v>
      </c>
      <c r="G28" s="34">
        <v>29</v>
      </c>
      <c r="H28" s="64">
        <v>9.42</v>
      </c>
      <c r="I28" s="65">
        <v>5.0999999999999997E-2</v>
      </c>
      <c r="J28" s="34"/>
      <c r="K28" s="22"/>
    </row>
    <row r="29" spans="2:11" x14ac:dyDescent="0.35">
      <c r="B29" s="22">
        <v>107</v>
      </c>
      <c r="C29" s="22" t="s">
        <v>466</v>
      </c>
      <c r="D29" s="22" t="s">
        <v>459</v>
      </c>
      <c r="E29" s="22">
        <v>10703</v>
      </c>
      <c r="F29" s="63" t="s">
        <v>114</v>
      </c>
      <c r="G29" s="34">
        <v>45</v>
      </c>
      <c r="H29" s="64">
        <v>9.73</v>
      </c>
      <c r="I29" s="65">
        <v>6.6000000000000003E-2</v>
      </c>
      <c r="J29" s="34">
        <v>3</v>
      </c>
      <c r="K29" s="66">
        <v>6.6666666666666666E-2</v>
      </c>
    </row>
    <row r="30" spans="2:11" x14ac:dyDescent="0.35">
      <c r="B30" s="22">
        <v>107</v>
      </c>
      <c r="C30" s="22" t="s">
        <v>466</v>
      </c>
      <c r="D30" s="22" t="s">
        <v>459</v>
      </c>
      <c r="E30" s="22">
        <v>10704</v>
      </c>
      <c r="F30" s="63" t="s">
        <v>115</v>
      </c>
      <c r="G30" s="34">
        <v>54</v>
      </c>
      <c r="H30" s="64">
        <v>9.73</v>
      </c>
      <c r="I30" s="65">
        <v>3.5000000000000003E-2</v>
      </c>
      <c r="J30" s="34">
        <v>3</v>
      </c>
      <c r="K30" s="66">
        <v>5.5555555555555552E-2</v>
      </c>
    </row>
    <row r="31" spans="2:11" x14ac:dyDescent="0.35">
      <c r="B31" s="22">
        <v>108</v>
      </c>
      <c r="C31" s="22" t="s">
        <v>467</v>
      </c>
      <c r="D31" s="22" t="s">
        <v>459</v>
      </c>
      <c r="E31" s="22">
        <v>10801</v>
      </c>
      <c r="F31" s="63" t="s">
        <v>116</v>
      </c>
      <c r="G31" s="34">
        <v>14</v>
      </c>
      <c r="H31" s="64">
        <v>9.0399999999999991</v>
      </c>
      <c r="I31" s="65">
        <v>0.17</v>
      </c>
      <c r="J31" s="34">
        <v>1</v>
      </c>
      <c r="K31" s="66">
        <v>7.1428571428571425E-2</v>
      </c>
    </row>
    <row r="32" spans="2:11" x14ac:dyDescent="0.35">
      <c r="B32" s="22">
        <v>108</v>
      </c>
      <c r="C32" s="22" t="s">
        <v>467</v>
      </c>
      <c r="D32" s="22" t="s">
        <v>459</v>
      </c>
      <c r="E32" s="22">
        <v>10802</v>
      </c>
      <c r="F32" s="63" t="s">
        <v>117</v>
      </c>
      <c r="G32" s="34">
        <v>11</v>
      </c>
      <c r="H32" s="64">
        <v>8.25</v>
      </c>
      <c r="I32" s="65">
        <v>9.8000000000000004E-2</v>
      </c>
      <c r="J32" s="34"/>
      <c r="K32" s="22"/>
    </row>
    <row r="33" spans="2:11" x14ac:dyDescent="0.35">
      <c r="B33" s="22">
        <v>108</v>
      </c>
      <c r="C33" s="22" t="s">
        <v>467</v>
      </c>
      <c r="D33" s="22" t="s">
        <v>459</v>
      </c>
      <c r="E33" s="22">
        <v>10804</v>
      </c>
      <c r="F33" s="63" t="s">
        <v>118</v>
      </c>
      <c r="G33" s="34">
        <v>27</v>
      </c>
      <c r="H33" s="64">
        <v>8.83</v>
      </c>
      <c r="I33" s="65">
        <v>4.8000000000000001E-2</v>
      </c>
      <c r="J33" s="34"/>
      <c r="K33" s="22"/>
    </row>
    <row r="34" spans="2:11" x14ac:dyDescent="0.35">
      <c r="B34" s="22">
        <v>108</v>
      </c>
      <c r="C34" s="22" t="s">
        <v>467</v>
      </c>
      <c r="D34" s="22" t="s">
        <v>459</v>
      </c>
      <c r="E34" s="22">
        <v>10805</v>
      </c>
      <c r="F34" s="63" t="s">
        <v>119</v>
      </c>
      <c r="G34" s="34">
        <v>22</v>
      </c>
      <c r="H34" s="64">
        <v>8.92</v>
      </c>
      <c r="I34" s="65">
        <v>0.17499999999999999</v>
      </c>
      <c r="J34" s="34"/>
      <c r="K34" s="22"/>
    </row>
    <row r="35" spans="2:11" x14ac:dyDescent="0.35">
      <c r="B35" s="22">
        <v>109</v>
      </c>
      <c r="C35" s="22" t="s">
        <v>468</v>
      </c>
      <c r="D35" s="22" t="s">
        <v>459</v>
      </c>
      <c r="E35" s="22">
        <v>10901</v>
      </c>
      <c r="F35" s="63" t="s">
        <v>120</v>
      </c>
      <c r="G35" s="34">
        <v>21</v>
      </c>
      <c r="H35" s="64">
        <v>9.67</v>
      </c>
      <c r="I35" s="65">
        <v>7.9000000000000001E-2</v>
      </c>
      <c r="J35" s="34"/>
      <c r="K35" s="22"/>
    </row>
    <row r="36" spans="2:11" x14ac:dyDescent="0.35">
      <c r="B36" s="22">
        <v>109</v>
      </c>
      <c r="C36" s="22" t="s">
        <v>468</v>
      </c>
      <c r="D36" s="22" t="s">
        <v>459</v>
      </c>
      <c r="E36" s="22">
        <v>10902</v>
      </c>
      <c r="F36" s="63" t="s">
        <v>121</v>
      </c>
      <c r="G36" s="34" t="s">
        <v>464</v>
      </c>
      <c r="H36" s="64"/>
      <c r="I36" s="65"/>
      <c r="J36" s="34"/>
      <c r="K36" s="22"/>
    </row>
    <row r="37" spans="2:11" x14ac:dyDescent="0.35">
      <c r="B37" s="22">
        <v>109</v>
      </c>
      <c r="C37" s="22" t="s">
        <v>468</v>
      </c>
      <c r="D37" s="22" t="s">
        <v>459</v>
      </c>
      <c r="E37" s="22">
        <v>10903</v>
      </c>
      <c r="F37" s="63" t="s">
        <v>122</v>
      </c>
      <c r="G37" s="34">
        <v>9</v>
      </c>
      <c r="H37" s="64">
        <v>9.5500000000000007</v>
      </c>
      <c r="I37" s="65">
        <v>0.122</v>
      </c>
      <c r="J37" s="34"/>
      <c r="K37" s="22"/>
    </row>
    <row r="38" spans="2:11" x14ac:dyDescent="0.35">
      <c r="B38" s="22">
        <v>110</v>
      </c>
      <c r="C38" s="22" t="s">
        <v>469</v>
      </c>
      <c r="D38" s="22" t="s">
        <v>459</v>
      </c>
      <c r="E38" s="22">
        <v>11001</v>
      </c>
      <c r="F38" s="63" t="s">
        <v>123</v>
      </c>
      <c r="G38" s="34">
        <v>11</v>
      </c>
      <c r="H38" s="64">
        <v>8.2899999999999991</v>
      </c>
      <c r="I38" s="65">
        <v>6.2E-2</v>
      </c>
      <c r="J38" s="34"/>
      <c r="K38" s="22"/>
    </row>
    <row r="39" spans="2:11" x14ac:dyDescent="0.35">
      <c r="B39" s="22">
        <v>110</v>
      </c>
      <c r="C39" s="22" t="s">
        <v>469</v>
      </c>
      <c r="D39" s="22" t="s">
        <v>459</v>
      </c>
      <c r="E39" s="22">
        <v>11002</v>
      </c>
      <c r="F39" s="63" t="s">
        <v>124</v>
      </c>
      <c r="G39" s="34">
        <v>6</v>
      </c>
      <c r="H39" s="64">
        <v>8.19</v>
      </c>
      <c r="I39" s="65">
        <v>7.2999999999999995E-2</v>
      </c>
      <c r="J39" s="34"/>
      <c r="K39" s="22"/>
    </row>
    <row r="40" spans="2:11" x14ac:dyDescent="0.35">
      <c r="B40" s="22">
        <v>110</v>
      </c>
      <c r="C40" s="22" t="s">
        <v>469</v>
      </c>
      <c r="D40" s="22" t="s">
        <v>459</v>
      </c>
      <c r="E40" s="22">
        <v>11003</v>
      </c>
      <c r="F40" s="63" t="s">
        <v>125</v>
      </c>
      <c r="G40" s="34">
        <v>10</v>
      </c>
      <c r="H40" s="64">
        <v>7.8</v>
      </c>
      <c r="I40" s="65">
        <v>4.4000000000000004E-2</v>
      </c>
      <c r="J40" s="34"/>
      <c r="K40" s="22"/>
    </row>
    <row r="41" spans="2:11" x14ac:dyDescent="0.35">
      <c r="B41" s="22">
        <v>110</v>
      </c>
      <c r="C41" s="22" t="s">
        <v>469</v>
      </c>
      <c r="D41" s="22" t="s">
        <v>459</v>
      </c>
      <c r="E41" s="22">
        <v>11004</v>
      </c>
      <c r="F41" s="63" t="s">
        <v>126</v>
      </c>
      <c r="G41" s="34">
        <v>24</v>
      </c>
      <c r="H41" s="64">
        <v>9.18</v>
      </c>
      <c r="I41" s="65">
        <v>4.9000000000000002E-2</v>
      </c>
      <c r="J41" s="34"/>
      <c r="K41" s="22"/>
    </row>
    <row r="42" spans="2:11" x14ac:dyDescent="0.35">
      <c r="B42" s="22">
        <v>111</v>
      </c>
      <c r="C42" s="22" t="s">
        <v>470</v>
      </c>
      <c r="D42" s="22" t="s">
        <v>459</v>
      </c>
      <c r="E42" s="22">
        <v>11101</v>
      </c>
      <c r="F42" s="63" t="s">
        <v>127</v>
      </c>
      <c r="G42" s="34">
        <v>40</v>
      </c>
      <c r="H42" s="64">
        <v>9.9</v>
      </c>
      <c r="I42" s="65">
        <v>2.1000000000000001E-2</v>
      </c>
      <c r="J42" s="34">
        <v>1</v>
      </c>
      <c r="K42" s="66">
        <v>2.5000000000000001E-2</v>
      </c>
    </row>
    <row r="43" spans="2:11" x14ac:dyDescent="0.35">
      <c r="B43" s="22">
        <v>111</v>
      </c>
      <c r="C43" s="22" t="s">
        <v>470</v>
      </c>
      <c r="D43" s="22" t="s">
        <v>459</v>
      </c>
      <c r="E43" s="22">
        <v>11102</v>
      </c>
      <c r="F43" s="63" t="s">
        <v>128</v>
      </c>
      <c r="G43" s="34">
        <v>29</v>
      </c>
      <c r="H43" s="64">
        <v>8.89</v>
      </c>
      <c r="I43" s="65">
        <v>1.6E-2</v>
      </c>
      <c r="J43" s="34"/>
      <c r="K43" s="22"/>
    </row>
    <row r="44" spans="2:11" x14ac:dyDescent="0.35">
      <c r="B44" s="22">
        <v>111</v>
      </c>
      <c r="C44" s="22" t="s">
        <v>470</v>
      </c>
      <c r="D44" s="22" t="s">
        <v>459</v>
      </c>
      <c r="E44" s="22">
        <v>11103</v>
      </c>
      <c r="F44" s="63" t="s">
        <v>129</v>
      </c>
      <c r="G44" s="34">
        <v>72</v>
      </c>
      <c r="H44" s="64">
        <v>9.93</v>
      </c>
      <c r="I44" s="65">
        <v>1.3999999999999999E-2</v>
      </c>
      <c r="J44" s="34"/>
      <c r="K44" s="22"/>
    </row>
    <row r="45" spans="2:11" x14ac:dyDescent="0.35">
      <c r="B45" s="22">
        <v>112</v>
      </c>
      <c r="C45" s="22" t="s">
        <v>471</v>
      </c>
      <c r="D45" s="22" t="s">
        <v>459</v>
      </c>
      <c r="E45" s="22">
        <v>11201</v>
      </c>
      <c r="F45" s="63" t="s">
        <v>130</v>
      </c>
      <c r="G45" s="34">
        <v>22</v>
      </c>
      <c r="H45" s="64">
        <v>8.98</v>
      </c>
      <c r="I45" s="65">
        <v>3.7999999999999999E-2</v>
      </c>
      <c r="J45" s="34"/>
      <c r="K45" s="22"/>
    </row>
    <row r="46" spans="2:11" x14ac:dyDescent="0.35">
      <c r="B46" s="22">
        <v>112</v>
      </c>
      <c r="C46" s="22" t="s">
        <v>471</v>
      </c>
      <c r="D46" s="22" t="s">
        <v>459</v>
      </c>
      <c r="E46" s="22">
        <v>11202</v>
      </c>
      <c r="F46" s="63" t="s">
        <v>131</v>
      </c>
      <c r="G46" s="34">
        <v>17</v>
      </c>
      <c r="H46" s="64">
        <v>8.86</v>
      </c>
      <c r="I46" s="65">
        <v>8.199999999999999E-2</v>
      </c>
      <c r="J46" s="34"/>
      <c r="K46" s="22"/>
    </row>
    <row r="47" spans="2:11" x14ac:dyDescent="0.35">
      <c r="B47" s="22">
        <v>112</v>
      </c>
      <c r="C47" s="22" t="s">
        <v>471</v>
      </c>
      <c r="D47" s="22" t="s">
        <v>459</v>
      </c>
      <c r="E47" s="22">
        <v>11203</v>
      </c>
      <c r="F47" s="63" t="s">
        <v>132</v>
      </c>
      <c r="G47" s="34">
        <v>26</v>
      </c>
      <c r="H47" s="64">
        <v>8.8699999999999992</v>
      </c>
      <c r="I47" s="65">
        <v>8.6999999999999994E-2</v>
      </c>
      <c r="J47" s="34"/>
      <c r="K47" s="22"/>
    </row>
    <row r="48" spans="2:11" x14ac:dyDescent="0.35">
      <c r="B48" s="22">
        <v>113</v>
      </c>
      <c r="C48" s="22" t="s">
        <v>472</v>
      </c>
      <c r="D48" s="22" t="s">
        <v>459</v>
      </c>
      <c r="E48" s="22">
        <v>11301</v>
      </c>
      <c r="F48" s="63" t="s">
        <v>133</v>
      </c>
      <c r="G48" s="34">
        <v>13</v>
      </c>
      <c r="H48" s="64">
        <v>9.1999999999999993</v>
      </c>
      <c r="I48" s="65">
        <v>7.8E-2</v>
      </c>
      <c r="J48" s="34"/>
      <c r="K48" s="22"/>
    </row>
    <row r="49" spans="2:11" x14ac:dyDescent="0.35">
      <c r="B49" s="22">
        <v>113</v>
      </c>
      <c r="C49" s="22" t="s">
        <v>472</v>
      </c>
      <c r="D49" s="22" t="s">
        <v>459</v>
      </c>
      <c r="E49" s="22">
        <v>11302</v>
      </c>
      <c r="F49" s="63" t="s">
        <v>134</v>
      </c>
      <c r="G49" s="34">
        <v>6</v>
      </c>
      <c r="H49" s="64">
        <v>7.76</v>
      </c>
      <c r="I49" s="65">
        <v>7.400000000000001E-2</v>
      </c>
      <c r="J49" s="34"/>
      <c r="K49" s="22"/>
    </row>
    <row r="50" spans="2:11" x14ac:dyDescent="0.35">
      <c r="B50" s="22">
        <v>113</v>
      </c>
      <c r="C50" s="22" t="s">
        <v>472</v>
      </c>
      <c r="D50" s="22" t="s">
        <v>459</v>
      </c>
      <c r="E50" s="22">
        <v>11303</v>
      </c>
      <c r="F50" s="63" t="s">
        <v>135</v>
      </c>
      <c r="G50" s="34">
        <v>39</v>
      </c>
      <c r="H50" s="64">
        <v>9.1199999999999992</v>
      </c>
      <c r="I50" s="65">
        <v>5.2999999999999999E-2</v>
      </c>
      <c r="J50" s="34"/>
      <c r="K50" s="22"/>
    </row>
    <row r="51" spans="2:11" x14ac:dyDescent="0.35">
      <c r="B51" s="22">
        <v>114</v>
      </c>
      <c r="C51" s="22" t="s">
        <v>473</v>
      </c>
      <c r="D51" s="22" t="s">
        <v>459</v>
      </c>
      <c r="E51" s="22">
        <v>11401</v>
      </c>
      <c r="F51" s="63" t="s">
        <v>136</v>
      </c>
      <c r="G51" s="34">
        <v>42</v>
      </c>
      <c r="H51" s="64">
        <v>9.0399999999999991</v>
      </c>
      <c r="I51" s="65">
        <v>5.0999999999999997E-2</v>
      </c>
      <c r="J51" s="34">
        <v>1</v>
      </c>
      <c r="K51" s="66">
        <v>2.3809523809523808E-2</v>
      </c>
    </row>
    <row r="52" spans="2:11" x14ac:dyDescent="0.35">
      <c r="B52" s="22">
        <v>114</v>
      </c>
      <c r="C52" s="22" t="s">
        <v>473</v>
      </c>
      <c r="D52" s="22" t="s">
        <v>459</v>
      </c>
      <c r="E52" s="22">
        <v>11402</v>
      </c>
      <c r="F52" s="63" t="s">
        <v>137</v>
      </c>
      <c r="G52" s="34">
        <v>18</v>
      </c>
      <c r="H52" s="64">
        <v>8.84</v>
      </c>
      <c r="I52" s="65">
        <v>5.5999999999999994E-2</v>
      </c>
      <c r="J52" s="34">
        <v>1</v>
      </c>
      <c r="K52" s="66">
        <v>5.5555555555555552E-2</v>
      </c>
    </row>
    <row r="53" spans="2:11" x14ac:dyDescent="0.35">
      <c r="B53" s="22">
        <v>115</v>
      </c>
      <c r="C53" s="22" t="s">
        <v>474</v>
      </c>
      <c r="D53" s="22" t="s">
        <v>459</v>
      </c>
      <c r="E53" s="22">
        <v>11501</v>
      </c>
      <c r="F53" s="63" t="s">
        <v>138</v>
      </c>
      <c r="G53" s="34">
        <v>69</v>
      </c>
      <c r="H53" s="64">
        <v>10.37</v>
      </c>
      <c r="I53" s="65">
        <v>2E-3</v>
      </c>
      <c r="J53" s="34">
        <v>2</v>
      </c>
      <c r="K53" s="66">
        <v>2.8985507246376812E-2</v>
      </c>
    </row>
    <row r="54" spans="2:11" x14ac:dyDescent="0.35">
      <c r="B54" s="22">
        <v>115</v>
      </c>
      <c r="C54" s="22" t="s">
        <v>474</v>
      </c>
      <c r="D54" s="22" t="s">
        <v>459</v>
      </c>
      <c r="E54" s="22">
        <v>11502</v>
      </c>
      <c r="F54" s="63" t="s">
        <v>139</v>
      </c>
      <c r="G54" s="34">
        <v>14</v>
      </c>
      <c r="H54" s="64">
        <v>9.99</v>
      </c>
      <c r="I54" s="65">
        <v>-2.2000000000000002E-2</v>
      </c>
      <c r="J54" s="34">
        <v>1</v>
      </c>
      <c r="K54" s="66">
        <v>7.1428571428571425E-2</v>
      </c>
    </row>
    <row r="55" spans="2:11" x14ac:dyDescent="0.35">
      <c r="B55" s="22">
        <v>115</v>
      </c>
      <c r="C55" s="22" t="s">
        <v>474</v>
      </c>
      <c r="D55" s="22" t="s">
        <v>459</v>
      </c>
      <c r="E55" s="22">
        <v>11503</v>
      </c>
      <c r="F55" s="63" t="s">
        <v>140</v>
      </c>
      <c r="G55" s="34">
        <v>5</v>
      </c>
      <c r="H55" s="64">
        <v>9.11</v>
      </c>
      <c r="I55" s="65">
        <v>4.4000000000000004E-2</v>
      </c>
      <c r="J55" s="34"/>
      <c r="K55" s="22"/>
    </row>
    <row r="56" spans="2:11" x14ac:dyDescent="0.35">
      <c r="B56" s="22">
        <v>115</v>
      </c>
      <c r="C56" s="22" t="s">
        <v>474</v>
      </c>
      <c r="D56" s="22" t="s">
        <v>459</v>
      </c>
      <c r="E56" s="22">
        <v>11504</v>
      </c>
      <c r="F56" s="63" t="s">
        <v>141</v>
      </c>
      <c r="G56" s="34">
        <v>20</v>
      </c>
      <c r="H56" s="64">
        <v>9.6199999999999992</v>
      </c>
      <c r="I56" s="65">
        <v>1.8000000000000002E-2</v>
      </c>
      <c r="J56" s="34"/>
      <c r="K56" s="22"/>
    </row>
    <row r="57" spans="2:11" x14ac:dyDescent="0.35">
      <c r="B57" s="22">
        <v>116</v>
      </c>
      <c r="C57" s="22" t="s">
        <v>475</v>
      </c>
      <c r="D57" s="22" t="s">
        <v>459</v>
      </c>
      <c r="E57" s="22">
        <v>11601</v>
      </c>
      <c r="F57" s="63" t="s">
        <v>142</v>
      </c>
      <c r="G57" s="34">
        <v>61</v>
      </c>
      <c r="H57" s="64">
        <v>9.07</v>
      </c>
      <c r="I57" s="65">
        <v>6.9000000000000006E-2</v>
      </c>
      <c r="J57" s="34"/>
      <c r="K57" s="22"/>
    </row>
    <row r="58" spans="2:11" x14ac:dyDescent="0.35">
      <c r="B58" s="22">
        <v>116</v>
      </c>
      <c r="C58" s="22" t="s">
        <v>475</v>
      </c>
      <c r="D58" s="22" t="s">
        <v>459</v>
      </c>
      <c r="E58" s="22">
        <v>11602</v>
      </c>
      <c r="F58" s="63" t="s">
        <v>143</v>
      </c>
      <c r="G58" s="34">
        <v>40</v>
      </c>
      <c r="H58" s="64">
        <v>9.7100000000000009</v>
      </c>
      <c r="I58" s="65">
        <v>3.7000000000000005E-2</v>
      </c>
      <c r="J58" s="34">
        <v>1</v>
      </c>
      <c r="K58" s="66">
        <v>2.5000000000000001E-2</v>
      </c>
    </row>
    <row r="59" spans="2:11" x14ac:dyDescent="0.35">
      <c r="B59" s="22">
        <v>116</v>
      </c>
      <c r="C59" s="22" t="s">
        <v>475</v>
      </c>
      <c r="D59" s="22" t="s">
        <v>459</v>
      </c>
      <c r="E59" s="22">
        <v>11603</v>
      </c>
      <c r="F59" s="63" t="s">
        <v>144</v>
      </c>
      <c r="G59" s="34">
        <v>44</v>
      </c>
      <c r="H59" s="64">
        <v>8.82</v>
      </c>
      <c r="I59" s="65">
        <v>5.7999999999999996E-2</v>
      </c>
      <c r="J59" s="34">
        <v>1</v>
      </c>
      <c r="K59" s="66">
        <v>2.2727272727272728E-2</v>
      </c>
    </row>
    <row r="60" spans="2:11" x14ac:dyDescent="0.35">
      <c r="B60" s="22">
        <v>117</v>
      </c>
      <c r="C60" s="22" t="s">
        <v>476</v>
      </c>
      <c r="D60" s="22" t="s">
        <v>459</v>
      </c>
      <c r="E60" s="22">
        <v>11701</v>
      </c>
      <c r="F60" s="63" t="s">
        <v>145</v>
      </c>
      <c r="G60" s="34">
        <v>19</v>
      </c>
      <c r="H60" s="64">
        <v>10.38</v>
      </c>
      <c r="I60" s="65">
        <v>1.3999999999999999E-2</v>
      </c>
      <c r="J60" s="34"/>
      <c r="K60" s="22"/>
    </row>
    <row r="61" spans="2:11" x14ac:dyDescent="0.35">
      <c r="B61" s="22">
        <v>117</v>
      </c>
      <c r="C61" s="22" t="s">
        <v>476</v>
      </c>
      <c r="D61" s="22" t="s">
        <v>459</v>
      </c>
      <c r="E61" s="22">
        <v>11702</v>
      </c>
      <c r="F61" s="63" t="s">
        <v>146</v>
      </c>
      <c r="G61" s="34">
        <v>21</v>
      </c>
      <c r="H61" s="64">
        <v>11.62</v>
      </c>
      <c r="I61" s="65">
        <v>1.7000000000000001E-2</v>
      </c>
      <c r="J61" s="34">
        <v>12</v>
      </c>
      <c r="K61" s="66">
        <v>0.5714285714285714</v>
      </c>
    </row>
    <row r="62" spans="2:11" x14ac:dyDescent="0.35">
      <c r="B62" s="22">
        <v>117</v>
      </c>
      <c r="C62" s="22" t="s">
        <v>476</v>
      </c>
      <c r="D62" s="22" t="s">
        <v>459</v>
      </c>
      <c r="E62" s="22">
        <v>11703</v>
      </c>
      <c r="F62" s="63" t="s">
        <v>147</v>
      </c>
      <c r="G62" s="34">
        <v>105</v>
      </c>
      <c r="H62" s="64">
        <v>12.47</v>
      </c>
      <c r="I62" s="65">
        <v>-2.4E-2</v>
      </c>
      <c r="J62" s="34">
        <v>69</v>
      </c>
      <c r="K62" s="66">
        <v>0.65714285714285714</v>
      </c>
    </row>
    <row r="63" spans="2:11" x14ac:dyDescent="0.35">
      <c r="B63" s="22">
        <v>118</v>
      </c>
      <c r="C63" s="22" t="s">
        <v>477</v>
      </c>
      <c r="D63" s="22" t="s">
        <v>459</v>
      </c>
      <c r="E63" s="22">
        <v>11801</v>
      </c>
      <c r="F63" s="63" t="s">
        <v>148</v>
      </c>
      <c r="G63" s="34">
        <v>67</v>
      </c>
      <c r="H63" s="64">
        <v>13.86</v>
      </c>
      <c r="I63" s="65">
        <v>-1.8000000000000002E-2</v>
      </c>
      <c r="J63" s="34">
        <v>59</v>
      </c>
      <c r="K63" s="66">
        <v>0.88059701492537312</v>
      </c>
    </row>
    <row r="64" spans="2:11" x14ac:dyDescent="0.35">
      <c r="B64" s="22">
        <v>118</v>
      </c>
      <c r="C64" s="22" t="s">
        <v>477</v>
      </c>
      <c r="D64" s="22" t="s">
        <v>459</v>
      </c>
      <c r="E64" s="22">
        <v>11802</v>
      </c>
      <c r="F64" s="63" t="s">
        <v>149</v>
      </c>
      <c r="G64" s="34">
        <v>69</v>
      </c>
      <c r="H64" s="64">
        <v>12.26</v>
      </c>
      <c r="I64" s="65">
        <v>-0.01</v>
      </c>
      <c r="J64" s="34">
        <v>39</v>
      </c>
      <c r="K64" s="66">
        <v>0.56521739130434778</v>
      </c>
    </row>
    <row r="65" spans="2:11" x14ac:dyDescent="0.35">
      <c r="B65" s="22">
        <v>119</v>
      </c>
      <c r="C65" s="22" t="s">
        <v>478</v>
      </c>
      <c r="D65" s="22" t="s">
        <v>459</v>
      </c>
      <c r="E65" s="22">
        <v>11901</v>
      </c>
      <c r="F65" s="63" t="s">
        <v>150</v>
      </c>
      <c r="G65" s="34">
        <v>94</v>
      </c>
      <c r="H65" s="64">
        <v>9.4600000000000009</v>
      </c>
      <c r="I65" s="65">
        <v>6.0999999999999999E-2</v>
      </c>
      <c r="J65" s="34">
        <v>4</v>
      </c>
      <c r="K65" s="66">
        <v>4.2553191489361701E-2</v>
      </c>
    </row>
    <row r="66" spans="2:11" x14ac:dyDescent="0.35">
      <c r="B66" s="22">
        <v>119</v>
      </c>
      <c r="C66" s="22" t="s">
        <v>478</v>
      </c>
      <c r="D66" s="22" t="s">
        <v>459</v>
      </c>
      <c r="E66" s="22">
        <v>11902</v>
      </c>
      <c r="F66" s="63" t="s">
        <v>151</v>
      </c>
      <c r="G66" s="34">
        <v>72</v>
      </c>
      <c r="H66" s="64">
        <v>9.3800000000000008</v>
      </c>
      <c r="I66" s="65">
        <v>5.7999999999999996E-2</v>
      </c>
      <c r="J66" s="34">
        <v>1</v>
      </c>
      <c r="K66" s="66">
        <v>1.3888888888888888E-2</v>
      </c>
    </row>
    <row r="67" spans="2:11" x14ac:dyDescent="0.35">
      <c r="B67" s="22">
        <v>119</v>
      </c>
      <c r="C67" s="22" t="s">
        <v>478</v>
      </c>
      <c r="D67" s="22" t="s">
        <v>459</v>
      </c>
      <c r="E67" s="22">
        <v>11903</v>
      </c>
      <c r="F67" s="63" t="s">
        <v>152</v>
      </c>
      <c r="G67" s="34">
        <v>59</v>
      </c>
      <c r="H67" s="64">
        <v>10.199999999999999</v>
      </c>
      <c r="I67" s="65">
        <v>8.0000000000000002E-3</v>
      </c>
      <c r="J67" s="34">
        <v>8</v>
      </c>
      <c r="K67" s="66">
        <v>0.13559322033898305</v>
      </c>
    </row>
    <row r="68" spans="2:11" x14ac:dyDescent="0.35">
      <c r="B68" s="22">
        <v>119</v>
      </c>
      <c r="C68" s="22" t="s">
        <v>478</v>
      </c>
      <c r="D68" s="22" t="s">
        <v>459</v>
      </c>
      <c r="E68" s="22">
        <v>11904</v>
      </c>
      <c r="F68" s="63" t="s">
        <v>153</v>
      </c>
      <c r="G68" s="34">
        <v>57</v>
      </c>
      <c r="H68" s="64">
        <v>9.75</v>
      </c>
      <c r="I68" s="65">
        <v>1.3000000000000001E-2</v>
      </c>
      <c r="J68" s="34">
        <v>2</v>
      </c>
      <c r="K68" s="66">
        <v>3.5087719298245612E-2</v>
      </c>
    </row>
    <row r="69" spans="2:11" x14ac:dyDescent="0.35">
      <c r="B69" s="22">
        <v>120</v>
      </c>
      <c r="C69" s="22" t="s">
        <v>479</v>
      </c>
      <c r="D69" s="22" t="s">
        <v>459</v>
      </c>
      <c r="E69" s="22">
        <v>12001</v>
      </c>
      <c r="F69" s="63" t="s">
        <v>154</v>
      </c>
      <c r="G69" s="34">
        <v>38</v>
      </c>
      <c r="H69" s="64">
        <v>11.47</v>
      </c>
      <c r="I69" s="65">
        <v>-2E-3</v>
      </c>
      <c r="J69" s="34">
        <v>16</v>
      </c>
      <c r="K69" s="66">
        <v>0.42105263157894735</v>
      </c>
    </row>
    <row r="70" spans="2:11" x14ac:dyDescent="0.35">
      <c r="B70" s="22">
        <v>120</v>
      </c>
      <c r="C70" s="22" t="s">
        <v>479</v>
      </c>
      <c r="D70" s="22" t="s">
        <v>459</v>
      </c>
      <c r="E70" s="22">
        <v>12002</v>
      </c>
      <c r="F70" s="63" t="s">
        <v>155</v>
      </c>
      <c r="G70" s="34">
        <v>32</v>
      </c>
      <c r="H70" s="64">
        <v>12.94</v>
      </c>
      <c r="I70" s="65">
        <v>-8.0000000000000002E-3</v>
      </c>
      <c r="J70" s="34">
        <v>28</v>
      </c>
      <c r="K70" s="66">
        <v>0.875</v>
      </c>
    </row>
    <row r="71" spans="2:11" x14ac:dyDescent="0.35">
      <c r="B71" s="22">
        <v>120</v>
      </c>
      <c r="C71" s="22" t="s">
        <v>479</v>
      </c>
      <c r="D71" s="22" t="s">
        <v>459</v>
      </c>
      <c r="E71" s="22">
        <v>12003</v>
      </c>
      <c r="F71" s="63" t="s">
        <v>156</v>
      </c>
      <c r="G71" s="34">
        <v>65</v>
      </c>
      <c r="H71" s="64">
        <v>11</v>
      </c>
      <c r="I71" s="65">
        <v>5.0000000000000001E-3</v>
      </c>
      <c r="J71" s="34">
        <v>18</v>
      </c>
      <c r="K71" s="66">
        <v>0.27692307692307694</v>
      </c>
    </row>
    <row r="72" spans="2:11" x14ac:dyDescent="0.35">
      <c r="B72" s="22">
        <v>121</v>
      </c>
      <c r="C72" s="22" t="s">
        <v>480</v>
      </c>
      <c r="D72" s="22" t="s">
        <v>459</v>
      </c>
      <c r="E72" s="22">
        <v>12101</v>
      </c>
      <c r="F72" s="63" t="s">
        <v>157</v>
      </c>
      <c r="G72" s="34">
        <v>64</v>
      </c>
      <c r="H72" s="64">
        <v>12.58</v>
      </c>
      <c r="I72" s="65">
        <v>-1.3000000000000001E-2</v>
      </c>
      <c r="J72" s="34">
        <v>41</v>
      </c>
      <c r="K72" s="66">
        <v>0.640625</v>
      </c>
    </row>
    <row r="73" spans="2:11" x14ac:dyDescent="0.35">
      <c r="B73" s="22">
        <v>121</v>
      </c>
      <c r="C73" s="22" t="s">
        <v>480</v>
      </c>
      <c r="D73" s="22" t="s">
        <v>459</v>
      </c>
      <c r="E73" s="22">
        <v>12102</v>
      </c>
      <c r="F73" s="63" t="s">
        <v>158</v>
      </c>
      <c r="G73" s="34">
        <v>38</v>
      </c>
      <c r="H73" s="64">
        <v>10.7</v>
      </c>
      <c r="I73" s="65">
        <v>1.7000000000000001E-2</v>
      </c>
      <c r="J73" s="34">
        <v>4</v>
      </c>
      <c r="K73" s="66">
        <v>0.10526315789473684</v>
      </c>
    </row>
    <row r="74" spans="2:11" x14ac:dyDescent="0.35">
      <c r="B74" s="22">
        <v>121</v>
      </c>
      <c r="C74" s="22" t="s">
        <v>480</v>
      </c>
      <c r="D74" s="22" t="s">
        <v>459</v>
      </c>
      <c r="E74" s="22">
        <v>12103</v>
      </c>
      <c r="F74" s="63" t="s">
        <v>159</v>
      </c>
      <c r="G74" s="34">
        <v>46</v>
      </c>
      <c r="H74" s="64">
        <v>13.29</v>
      </c>
      <c r="I74" s="65">
        <v>-2.5000000000000001E-2</v>
      </c>
      <c r="J74" s="34">
        <v>40</v>
      </c>
      <c r="K74" s="66">
        <v>0.86956521739130432</v>
      </c>
    </row>
    <row r="75" spans="2:11" x14ac:dyDescent="0.35">
      <c r="B75" s="22">
        <v>121</v>
      </c>
      <c r="C75" s="22" t="s">
        <v>480</v>
      </c>
      <c r="D75" s="22" t="s">
        <v>459</v>
      </c>
      <c r="E75" s="22">
        <v>12104</v>
      </c>
      <c r="F75" s="63" t="s">
        <v>160</v>
      </c>
      <c r="G75" s="34">
        <v>42</v>
      </c>
      <c r="H75" s="64">
        <v>14.26</v>
      </c>
      <c r="I75" s="65">
        <v>-1.2E-2</v>
      </c>
      <c r="J75" s="34">
        <v>41</v>
      </c>
      <c r="K75" s="66">
        <v>0.97619047619047616</v>
      </c>
    </row>
    <row r="76" spans="2:11" x14ac:dyDescent="0.35">
      <c r="B76" s="22">
        <v>122</v>
      </c>
      <c r="C76" s="22" t="s">
        <v>481</v>
      </c>
      <c r="D76" s="22" t="s">
        <v>459</v>
      </c>
      <c r="E76" s="22">
        <v>12201</v>
      </c>
      <c r="F76" s="63" t="s">
        <v>161</v>
      </c>
      <c r="G76" s="34">
        <v>19</v>
      </c>
      <c r="H76" s="64">
        <v>13.36</v>
      </c>
      <c r="I76" s="65">
        <v>9.0000000000000011E-3</v>
      </c>
      <c r="J76" s="34">
        <v>16</v>
      </c>
      <c r="K76" s="66">
        <v>0.84210526315789469</v>
      </c>
    </row>
    <row r="77" spans="2:11" x14ac:dyDescent="0.35">
      <c r="B77" s="22">
        <v>122</v>
      </c>
      <c r="C77" s="22" t="s">
        <v>481</v>
      </c>
      <c r="D77" s="22" t="s">
        <v>459</v>
      </c>
      <c r="E77" s="22">
        <v>12202</v>
      </c>
      <c r="F77" s="63" t="s">
        <v>162</v>
      </c>
      <c r="G77" s="34">
        <v>22</v>
      </c>
      <c r="H77" s="64">
        <v>11.24</v>
      </c>
      <c r="I77" s="65">
        <v>0</v>
      </c>
      <c r="J77" s="34">
        <v>6</v>
      </c>
      <c r="K77" s="66">
        <v>0.27272727272727271</v>
      </c>
    </row>
    <row r="78" spans="2:11" x14ac:dyDescent="0.35">
      <c r="B78" s="22">
        <v>122</v>
      </c>
      <c r="C78" s="22" t="s">
        <v>481</v>
      </c>
      <c r="D78" s="22" t="s">
        <v>459</v>
      </c>
      <c r="E78" s="22">
        <v>12203</v>
      </c>
      <c r="F78" s="63" t="s">
        <v>163</v>
      </c>
      <c r="G78" s="34">
        <v>70</v>
      </c>
      <c r="H78" s="64">
        <v>11.17</v>
      </c>
      <c r="I78" s="65">
        <v>-6.9999999999999993E-3</v>
      </c>
      <c r="J78" s="34">
        <v>15</v>
      </c>
      <c r="K78" s="66">
        <v>0.21428571428571427</v>
      </c>
    </row>
    <row r="79" spans="2:11" x14ac:dyDescent="0.35">
      <c r="B79" s="22">
        <v>123</v>
      </c>
      <c r="C79" s="22" t="s">
        <v>482</v>
      </c>
      <c r="D79" s="22" t="s">
        <v>459</v>
      </c>
      <c r="E79" s="22">
        <v>12301</v>
      </c>
      <c r="F79" s="63" t="s">
        <v>164</v>
      </c>
      <c r="G79" s="34">
        <v>30</v>
      </c>
      <c r="H79" s="64">
        <v>9.06</v>
      </c>
      <c r="I79" s="65">
        <v>6.2E-2</v>
      </c>
      <c r="J79" s="34"/>
      <c r="K79" s="22"/>
    </row>
    <row r="80" spans="2:11" x14ac:dyDescent="0.35">
      <c r="B80" s="22">
        <v>123</v>
      </c>
      <c r="C80" s="22" t="s">
        <v>482</v>
      </c>
      <c r="D80" s="22" t="s">
        <v>459</v>
      </c>
      <c r="E80" s="22">
        <v>12302</v>
      </c>
      <c r="F80" s="63" t="s">
        <v>165</v>
      </c>
      <c r="G80" s="34">
        <v>79</v>
      </c>
      <c r="H80" s="64">
        <v>8.3800000000000008</v>
      </c>
      <c r="I80" s="65">
        <v>4.0999999999999995E-2</v>
      </c>
      <c r="J80" s="34">
        <v>1</v>
      </c>
      <c r="K80" s="66">
        <v>1.2658227848101266E-2</v>
      </c>
    </row>
    <row r="81" spans="2:11" x14ac:dyDescent="0.35">
      <c r="B81" s="22">
        <v>123</v>
      </c>
      <c r="C81" s="22" t="s">
        <v>482</v>
      </c>
      <c r="D81" s="22" t="s">
        <v>459</v>
      </c>
      <c r="E81" s="22">
        <v>12303</v>
      </c>
      <c r="F81" s="63" t="s">
        <v>166</v>
      </c>
      <c r="G81" s="34">
        <v>17</v>
      </c>
      <c r="H81" s="64">
        <v>7.61</v>
      </c>
      <c r="I81" s="65">
        <v>1.7000000000000001E-2</v>
      </c>
      <c r="J81" s="34"/>
      <c r="K81" s="22"/>
    </row>
    <row r="82" spans="2:11" x14ac:dyDescent="0.35">
      <c r="B82" s="22">
        <v>124</v>
      </c>
      <c r="C82" s="22" t="s">
        <v>483</v>
      </c>
      <c r="D82" s="22" t="s">
        <v>459</v>
      </c>
      <c r="E82" s="22">
        <v>12401</v>
      </c>
      <c r="F82" s="63" t="s">
        <v>167</v>
      </c>
      <c r="G82" s="34">
        <v>24</v>
      </c>
      <c r="H82" s="64">
        <v>9.07</v>
      </c>
      <c r="I82" s="65">
        <v>3.5000000000000003E-2</v>
      </c>
      <c r="J82" s="34"/>
      <c r="K82" s="22"/>
    </row>
    <row r="83" spans="2:11" x14ac:dyDescent="0.35">
      <c r="B83" s="22">
        <v>124</v>
      </c>
      <c r="C83" s="22" t="s">
        <v>483</v>
      </c>
      <c r="D83" s="22" t="s">
        <v>459</v>
      </c>
      <c r="E83" s="22">
        <v>12403</v>
      </c>
      <c r="F83" s="63" t="s">
        <v>168</v>
      </c>
      <c r="G83" s="34">
        <v>72</v>
      </c>
      <c r="H83" s="64">
        <v>9.1199999999999992</v>
      </c>
      <c r="I83" s="65">
        <v>3.3000000000000002E-2</v>
      </c>
      <c r="J83" s="34">
        <v>2</v>
      </c>
      <c r="K83" s="66">
        <v>2.7777777777777776E-2</v>
      </c>
    </row>
    <row r="84" spans="2:11" x14ac:dyDescent="0.35">
      <c r="B84" s="22">
        <v>124</v>
      </c>
      <c r="C84" s="22" t="s">
        <v>483</v>
      </c>
      <c r="D84" s="22" t="s">
        <v>459</v>
      </c>
      <c r="E84" s="22">
        <v>12404</v>
      </c>
      <c r="F84" s="63" t="s">
        <v>169</v>
      </c>
      <c r="G84" s="34">
        <v>19</v>
      </c>
      <c r="H84" s="64">
        <v>8.67</v>
      </c>
      <c r="I84" s="65">
        <v>1.6E-2</v>
      </c>
      <c r="J84" s="34"/>
      <c r="K84" s="22"/>
    </row>
    <row r="85" spans="2:11" x14ac:dyDescent="0.35">
      <c r="B85" s="22">
        <v>124</v>
      </c>
      <c r="C85" s="22" t="s">
        <v>483</v>
      </c>
      <c r="D85" s="22" t="s">
        <v>459</v>
      </c>
      <c r="E85" s="22">
        <v>12405</v>
      </c>
      <c r="F85" s="63" t="s">
        <v>170</v>
      </c>
      <c r="G85" s="34">
        <v>23</v>
      </c>
      <c r="H85" s="64">
        <v>8.7100000000000009</v>
      </c>
      <c r="I85" s="65">
        <v>3.4000000000000002E-2</v>
      </c>
      <c r="J85" s="34"/>
      <c r="K85" s="22"/>
    </row>
    <row r="86" spans="2:11" x14ac:dyDescent="0.35">
      <c r="B86" s="22">
        <v>125</v>
      </c>
      <c r="C86" s="22" t="s">
        <v>484</v>
      </c>
      <c r="D86" s="22" t="s">
        <v>459</v>
      </c>
      <c r="E86" s="22">
        <v>12501</v>
      </c>
      <c r="F86" s="63" t="s">
        <v>171</v>
      </c>
      <c r="G86" s="34">
        <v>27</v>
      </c>
      <c r="H86" s="64">
        <v>10.25</v>
      </c>
      <c r="I86" s="65">
        <v>0.11199999999999999</v>
      </c>
      <c r="J86" s="34">
        <v>5</v>
      </c>
      <c r="K86" s="66">
        <v>0.18518518518518517</v>
      </c>
    </row>
    <row r="87" spans="2:11" x14ac:dyDescent="0.35">
      <c r="B87" s="22">
        <v>125</v>
      </c>
      <c r="C87" s="22" t="s">
        <v>484</v>
      </c>
      <c r="D87" s="22" t="s">
        <v>459</v>
      </c>
      <c r="E87" s="22">
        <v>12502</v>
      </c>
      <c r="F87" s="63" t="s">
        <v>172</v>
      </c>
      <c r="G87" s="34">
        <v>25</v>
      </c>
      <c r="H87" s="64">
        <v>10.4</v>
      </c>
      <c r="I87" s="65">
        <v>-2E-3</v>
      </c>
      <c r="J87" s="34">
        <v>3</v>
      </c>
      <c r="K87" s="66">
        <v>0.12</v>
      </c>
    </row>
    <row r="88" spans="2:11" x14ac:dyDescent="0.35">
      <c r="B88" s="22">
        <v>125</v>
      </c>
      <c r="C88" s="22" t="s">
        <v>484</v>
      </c>
      <c r="D88" s="22" t="s">
        <v>459</v>
      </c>
      <c r="E88" s="22">
        <v>12503</v>
      </c>
      <c r="F88" s="63" t="s">
        <v>173</v>
      </c>
      <c r="G88" s="34">
        <v>83</v>
      </c>
      <c r="H88" s="64">
        <v>8.99</v>
      </c>
      <c r="I88" s="65">
        <v>6.8000000000000005E-2</v>
      </c>
      <c r="J88" s="34">
        <v>4</v>
      </c>
      <c r="K88" s="66">
        <v>4.8192771084337352E-2</v>
      </c>
    </row>
    <row r="89" spans="2:11" x14ac:dyDescent="0.35">
      <c r="B89" s="22">
        <v>125</v>
      </c>
      <c r="C89" s="22" t="s">
        <v>484</v>
      </c>
      <c r="D89" s="22" t="s">
        <v>459</v>
      </c>
      <c r="E89" s="22">
        <v>12504</v>
      </c>
      <c r="F89" s="63" t="s">
        <v>174</v>
      </c>
      <c r="G89" s="34">
        <v>81</v>
      </c>
      <c r="H89" s="64">
        <v>9.5500000000000007</v>
      </c>
      <c r="I89" s="65">
        <v>2.2000000000000002E-2</v>
      </c>
      <c r="J89" s="34">
        <v>3</v>
      </c>
      <c r="K89" s="66">
        <v>3.7037037037037035E-2</v>
      </c>
    </row>
    <row r="90" spans="2:11" x14ac:dyDescent="0.35">
      <c r="B90" s="22">
        <v>126</v>
      </c>
      <c r="C90" s="22" t="s">
        <v>485</v>
      </c>
      <c r="D90" s="22" t="s">
        <v>459</v>
      </c>
      <c r="E90" s="22">
        <v>12601</v>
      </c>
      <c r="F90" s="63" t="s">
        <v>175</v>
      </c>
      <c r="G90" s="34">
        <v>20</v>
      </c>
      <c r="H90" s="64">
        <v>11.05</v>
      </c>
      <c r="I90" s="65">
        <v>-3.4000000000000002E-2</v>
      </c>
      <c r="J90" s="34">
        <v>5</v>
      </c>
      <c r="K90" s="66">
        <v>0.25</v>
      </c>
    </row>
    <row r="91" spans="2:11" x14ac:dyDescent="0.35">
      <c r="B91" s="22">
        <v>126</v>
      </c>
      <c r="C91" s="22" t="s">
        <v>485</v>
      </c>
      <c r="D91" s="22" t="s">
        <v>459</v>
      </c>
      <c r="E91" s="22">
        <v>12602</v>
      </c>
      <c r="F91" s="63" t="s">
        <v>176</v>
      </c>
      <c r="G91" s="34">
        <v>62</v>
      </c>
      <c r="H91" s="64">
        <v>11.24</v>
      </c>
      <c r="I91" s="65">
        <v>-6.9999999999999993E-3</v>
      </c>
      <c r="J91" s="34">
        <v>26</v>
      </c>
      <c r="K91" s="66">
        <v>0.41935483870967744</v>
      </c>
    </row>
    <row r="92" spans="2:11" x14ac:dyDescent="0.35">
      <c r="B92" s="22">
        <v>127</v>
      </c>
      <c r="C92" s="22" t="s">
        <v>486</v>
      </c>
      <c r="D92" s="22" t="s">
        <v>459</v>
      </c>
      <c r="E92" s="22">
        <v>12701</v>
      </c>
      <c r="F92" s="63" t="s">
        <v>177</v>
      </c>
      <c r="G92" s="34">
        <v>56</v>
      </c>
      <c r="H92" s="64">
        <v>8.7799999999999994</v>
      </c>
      <c r="I92" s="65">
        <v>0.1</v>
      </c>
      <c r="J92" s="34"/>
      <c r="K92" s="22"/>
    </row>
    <row r="93" spans="2:11" x14ac:dyDescent="0.35">
      <c r="B93" s="22">
        <v>127</v>
      </c>
      <c r="C93" s="22" t="s">
        <v>486</v>
      </c>
      <c r="D93" s="22" t="s">
        <v>459</v>
      </c>
      <c r="E93" s="22">
        <v>12702</v>
      </c>
      <c r="F93" s="63" t="s">
        <v>178</v>
      </c>
      <c r="G93" s="34">
        <v>70</v>
      </c>
      <c r="H93" s="64">
        <v>9.01</v>
      </c>
      <c r="I93" s="65">
        <v>8.5999999999999993E-2</v>
      </c>
      <c r="J93" s="34">
        <v>4</v>
      </c>
      <c r="K93" s="66">
        <v>5.7142857142857141E-2</v>
      </c>
    </row>
    <row r="94" spans="2:11" x14ac:dyDescent="0.35">
      <c r="B94" s="22">
        <v>127</v>
      </c>
      <c r="C94" s="22" t="s">
        <v>486</v>
      </c>
      <c r="D94" s="22" t="s">
        <v>459</v>
      </c>
      <c r="E94" s="22">
        <v>12703</v>
      </c>
      <c r="F94" s="63" t="s">
        <v>179</v>
      </c>
      <c r="G94" s="34">
        <v>60</v>
      </c>
      <c r="H94" s="64">
        <v>8.66</v>
      </c>
      <c r="I94" s="65">
        <v>5.7999999999999996E-2</v>
      </c>
      <c r="J94" s="34">
        <v>2</v>
      </c>
      <c r="K94" s="66">
        <v>3.3333333333333333E-2</v>
      </c>
    </row>
    <row r="95" spans="2:11" x14ac:dyDescent="0.35">
      <c r="B95" s="22">
        <v>128</v>
      </c>
      <c r="C95" s="22" t="s">
        <v>487</v>
      </c>
      <c r="D95" s="22" t="s">
        <v>459</v>
      </c>
      <c r="E95" s="22">
        <v>12801</v>
      </c>
      <c r="F95" s="63" t="s">
        <v>180</v>
      </c>
      <c r="G95" s="34">
        <v>62</v>
      </c>
      <c r="H95" s="64">
        <v>10.25</v>
      </c>
      <c r="I95" s="65">
        <v>3.0000000000000001E-3</v>
      </c>
      <c r="J95" s="34">
        <v>6</v>
      </c>
      <c r="K95" s="66">
        <v>9.6774193548387094E-2</v>
      </c>
    </row>
    <row r="96" spans="2:11" x14ac:dyDescent="0.35">
      <c r="B96" s="22">
        <v>128</v>
      </c>
      <c r="C96" s="22" t="s">
        <v>487</v>
      </c>
      <c r="D96" s="22" t="s">
        <v>459</v>
      </c>
      <c r="E96" s="22">
        <v>12802</v>
      </c>
      <c r="F96" s="63" t="s">
        <v>181</v>
      </c>
      <c r="G96" s="34">
        <v>59</v>
      </c>
      <c r="H96" s="64">
        <v>9.5399999999999991</v>
      </c>
      <c r="I96" s="65">
        <v>1.2E-2</v>
      </c>
      <c r="J96" s="34">
        <v>1</v>
      </c>
      <c r="K96" s="66">
        <v>1.6949152542372881E-2</v>
      </c>
    </row>
    <row r="97" spans="2:11" x14ac:dyDescent="0.35">
      <c r="B97" s="22">
        <v>201</v>
      </c>
      <c r="C97" s="22" t="s">
        <v>182</v>
      </c>
      <c r="D97" s="22" t="s">
        <v>488</v>
      </c>
      <c r="E97" s="22">
        <v>20101</v>
      </c>
      <c r="F97" s="63" t="s">
        <v>182</v>
      </c>
      <c r="G97" s="34">
        <v>29</v>
      </c>
      <c r="H97" s="64">
        <v>10.119999999999999</v>
      </c>
      <c r="I97" s="65">
        <v>6.0999999999999999E-2</v>
      </c>
      <c r="J97" s="34">
        <v>2</v>
      </c>
      <c r="K97" s="66">
        <v>6.8965517241379309E-2</v>
      </c>
    </row>
    <row r="98" spans="2:11" x14ac:dyDescent="0.35">
      <c r="B98" s="22">
        <v>201</v>
      </c>
      <c r="C98" s="22" t="s">
        <v>182</v>
      </c>
      <c r="D98" s="22" t="s">
        <v>488</v>
      </c>
      <c r="E98" s="22">
        <v>20102</v>
      </c>
      <c r="F98" s="63" t="s">
        <v>183</v>
      </c>
      <c r="G98" s="34" t="s">
        <v>464</v>
      </c>
      <c r="H98" s="64"/>
      <c r="I98" s="65"/>
      <c r="J98" s="34"/>
      <c r="K98" s="22"/>
    </row>
    <row r="99" spans="2:11" x14ac:dyDescent="0.35">
      <c r="B99" s="22">
        <v>201</v>
      </c>
      <c r="C99" s="22" t="s">
        <v>182</v>
      </c>
      <c r="D99" s="22" t="s">
        <v>488</v>
      </c>
      <c r="E99" s="22">
        <v>20103</v>
      </c>
      <c r="F99" s="63" t="s">
        <v>184</v>
      </c>
      <c r="G99" s="34" t="s">
        <v>464</v>
      </c>
      <c r="H99" s="64"/>
      <c r="I99" s="65"/>
      <c r="J99" s="34"/>
      <c r="K99" s="22"/>
    </row>
    <row r="100" spans="2:11" x14ac:dyDescent="0.35">
      <c r="B100" s="22">
        <v>202</v>
      </c>
      <c r="C100" s="22" t="s">
        <v>185</v>
      </c>
      <c r="D100" s="22" t="s">
        <v>488</v>
      </c>
      <c r="E100" s="22">
        <v>20201</v>
      </c>
      <c r="F100" s="63" t="s">
        <v>185</v>
      </c>
      <c r="G100" s="34">
        <v>20</v>
      </c>
      <c r="H100" s="64">
        <v>9.73</v>
      </c>
      <c r="I100" s="65">
        <v>5.2999999999999999E-2</v>
      </c>
      <c r="J100" s="34"/>
      <c r="K100" s="22"/>
    </row>
    <row r="101" spans="2:11" x14ac:dyDescent="0.35">
      <c r="B101" s="22">
        <v>202</v>
      </c>
      <c r="C101" s="22" t="s">
        <v>185</v>
      </c>
      <c r="D101" s="22" t="s">
        <v>488</v>
      </c>
      <c r="E101" s="22">
        <v>20202</v>
      </c>
      <c r="F101" s="63" t="s">
        <v>186</v>
      </c>
      <c r="G101" s="34">
        <v>6</v>
      </c>
      <c r="H101" s="64">
        <v>9.68</v>
      </c>
      <c r="I101" s="65">
        <v>9.5000000000000001E-2</v>
      </c>
      <c r="J101" s="34"/>
      <c r="K101" s="22"/>
    </row>
    <row r="102" spans="2:11" x14ac:dyDescent="0.35">
      <c r="B102" s="22">
        <v>203</v>
      </c>
      <c r="C102" s="22" t="s">
        <v>188</v>
      </c>
      <c r="D102" s="22" t="s">
        <v>488</v>
      </c>
      <c r="E102" s="22">
        <v>20301</v>
      </c>
      <c r="F102" s="63" t="s">
        <v>187</v>
      </c>
      <c r="G102" s="34">
        <v>5</v>
      </c>
      <c r="H102" s="64">
        <v>9.4700000000000006</v>
      </c>
      <c r="I102" s="65">
        <v>-8.0000000000000002E-3</v>
      </c>
      <c r="J102" s="34"/>
      <c r="K102" s="22"/>
    </row>
    <row r="103" spans="2:11" x14ac:dyDescent="0.35">
      <c r="B103" s="22">
        <v>203</v>
      </c>
      <c r="C103" s="22" t="s">
        <v>188</v>
      </c>
      <c r="D103" s="22" t="s">
        <v>488</v>
      </c>
      <c r="E103" s="22">
        <v>20302</v>
      </c>
      <c r="F103" s="63" t="s">
        <v>188</v>
      </c>
      <c r="G103" s="34">
        <v>43</v>
      </c>
      <c r="H103" s="64">
        <v>10.119999999999999</v>
      </c>
      <c r="I103" s="65">
        <v>3.7000000000000005E-2</v>
      </c>
      <c r="J103" s="34">
        <v>2</v>
      </c>
      <c r="K103" s="66">
        <v>4.6511627906976744E-2</v>
      </c>
    </row>
    <row r="104" spans="2:11" x14ac:dyDescent="0.35">
      <c r="B104" s="22">
        <v>203</v>
      </c>
      <c r="C104" s="22" t="s">
        <v>188</v>
      </c>
      <c r="D104" s="22" t="s">
        <v>488</v>
      </c>
      <c r="E104" s="22">
        <v>20303</v>
      </c>
      <c r="F104" s="63" t="s">
        <v>189</v>
      </c>
      <c r="G104" s="34">
        <v>21</v>
      </c>
      <c r="H104" s="64">
        <v>10.039999999999999</v>
      </c>
      <c r="I104" s="65">
        <v>3.2000000000000001E-2</v>
      </c>
      <c r="J104" s="34">
        <v>1</v>
      </c>
      <c r="K104" s="66">
        <v>4.7619047619047616E-2</v>
      </c>
    </row>
    <row r="105" spans="2:11" x14ac:dyDescent="0.35">
      <c r="B105" s="22">
        <v>204</v>
      </c>
      <c r="C105" s="22" t="s">
        <v>489</v>
      </c>
      <c r="D105" s="22" t="s">
        <v>488</v>
      </c>
      <c r="E105" s="22">
        <v>20401</v>
      </c>
      <c r="F105" s="63" t="s">
        <v>190</v>
      </c>
      <c r="G105" s="34">
        <v>15</v>
      </c>
      <c r="H105" s="64">
        <v>9.0500000000000007</v>
      </c>
      <c r="I105" s="65">
        <v>0.02</v>
      </c>
      <c r="J105" s="34">
        <v>1</v>
      </c>
      <c r="K105" s="66">
        <v>6.6666666666666666E-2</v>
      </c>
    </row>
    <row r="106" spans="2:11" x14ac:dyDescent="0.35">
      <c r="B106" s="22">
        <v>204</v>
      </c>
      <c r="C106" s="22" t="s">
        <v>489</v>
      </c>
      <c r="D106" s="22" t="s">
        <v>488</v>
      </c>
      <c r="E106" s="22">
        <v>20402</v>
      </c>
      <c r="F106" s="63" t="s">
        <v>191</v>
      </c>
      <c r="G106" s="34">
        <v>9</v>
      </c>
      <c r="H106" s="64">
        <v>9.25</v>
      </c>
      <c r="I106" s="65">
        <v>0.09</v>
      </c>
      <c r="J106" s="34"/>
      <c r="K106" s="22"/>
    </row>
    <row r="107" spans="2:11" x14ac:dyDescent="0.35">
      <c r="B107" s="22">
        <v>204</v>
      </c>
      <c r="C107" s="22" t="s">
        <v>489</v>
      </c>
      <c r="D107" s="22" t="s">
        <v>488</v>
      </c>
      <c r="E107" s="22">
        <v>20403</v>
      </c>
      <c r="F107" s="63" t="s">
        <v>192</v>
      </c>
      <c r="G107" s="34">
        <v>28</v>
      </c>
      <c r="H107" s="64">
        <v>9.8699999999999992</v>
      </c>
      <c r="I107" s="65">
        <v>0.08</v>
      </c>
      <c r="J107" s="34"/>
      <c r="K107" s="22"/>
    </row>
    <row r="108" spans="2:11" x14ac:dyDescent="0.35">
      <c r="B108" s="22">
        <v>205</v>
      </c>
      <c r="C108" s="22" t="s">
        <v>490</v>
      </c>
      <c r="D108" s="22" t="s">
        <v>488</v>
      </c>
      <c r="E108" s="22">
        <v>20501</v>
      </c>
      <c r="F108" s="63" t="s">
        <v>193</v>
      </c>
      <c r="G108" s="34">
        <v>7</v>
      </c>
      <c r="H108" s="64">
        <v>10.1</v>
      </c>
      <c r="I108" s="65">
        <v>0.12300000000000001</v>
      </c>
      <c r="J108" s="34"/>
      <c r="K108" s="22"/>
    </row>
    <row r="109" spans="2:11" x14ac:dyDescent="0.35">
      <c r="B109" s="22">
        <v>205</v>
      </c>
      <c r="C109" s="22" t="s">
        <v>490</v>
      </c>
      <c r="D109" s="22" t="s">
        <v>488</v>
      </c>
      <c r="E109" s="22">
        <v>20502</v>
      </c>
      <c r="F109" s="63" t="s">
        <v>194</v>
      </c>
      <c r="G109" s="34">
        <v>11</v>
      </c>
      <c r="H109" s="64">
        <v>9.5299999999999994</v>
      </c>
      <c r="I109" s="65">
        <v>3.5000000000000003E-2</v>
      </c>
      <c r="J109" s="34"/>
      <c r="K109" s="22"/>
    </row>
    <row r="110" spans="2:11" x14ac:dyDescent="0.35">
      <c r="B110" s="22">
        <v>205</v>
      </c>
      <c r="C110" s="22" t="s">
        <v>490</v>
      </c>
      <c r="D110" s="22" t="s">
        <v>488</v>
      </c>
      <c r="E110" s="22">
        <v>20503</v>
      </c>
      <c r="F110" s="63" t="s">
        <v>195</v>
      </c>
      <c r="G110" s="34">
        <v>11</v>
      </c>
      <c r="H110" s="64">
        <v>8.1999999999999993</v>
      </c>
      <c r="I110" s="65">
        <v>2.6000000000000002E-2</v>
      </c>
      <c r="J110" s="34"/>
      <c r="K110" s="22"/>
    </row>
    <row r="111" spans="2:11" x14ac:dyDescent="0.35">
      <c r="B111" s="22">
        <v>205</v>
      </c>
      <c r="C111" s="22" t="s">
        <v>490</v>
      </c>
      <c r="D111" s="22" t="s">
        <v>488</v>
      </c>
      <c r="E111" s="22">
        <v>20504</v>
      </c>
      <c r="F111" s="63" t="s">
        <v>196</v>
      </c>
      <c r="G111" s="34">
        <v>16</v>
      </c>
      <c r="H111" s="64">
        <v>9.32</v>
      </c>
      <c r="I111" s="65">
        <v>9.3000000000000013E-2</v>
      </c>
      <c r="J111" s="34"/>
      <c r="K111" s="22"/>
    </row>
    <row r="112" spans="2:11" x14ac:dyDescent="0.35">
      <c r="B112" s="22">
        <v>205</v>
      </c>
      <c r="C112" s="22" t="s">
        <v>490</v>
      </c>
      <c r="D112" s="22" t="s">
        <v>488</v>
      </c>
      <c r="E112" s="22">
        <v>20505</v>
      </c>
      <c r="F112" s="63" t="s">
        <v>197</v>
      </c>
      <c r="G112" s="34">
        <v>10</v>
      </c>
      <c r="H112" s="64">
        <v>8.6300000000000008</v>
      </c>
      <c r="I112" s="65">
        <v>1.4999999999999999E-2</v>
      </c>
      <c r="J112" s="34"/>
      <c r="K112" s="22"/>
    </row>
    <row r="113" spans="2:11" x14ac:dyDescent="0.35">
      <c r="B113" s="22">
        <v>206</v>
      </c>
      <c r="C113" s="22" t="s">
        <v>491</v>
      </c>
      <c r="D113" s="22" t="s">
        <v>488</v>
      </c>
      <c r="E113" s="22">
        <v>20601</v>
      </c>
      <c r="F113" s="63" t="s">
        <v>198</v>
      </c>
      <c r="G113" s="34">
        <v>30</v>
      </c>
      <c r="H113" s="64">
        <v>10.68</v>
      </c>
      <c r="I113" s="65">
        <v>4.5999999999999999E-2</v>
      </c>
      <c r="J113" s="34">
        <v>2</v>
      </c>
      <c r="K113" s="66">
        <v>6.6666666666666666E-2</v>
      </c>
    </row>
    <row r="114" spans="2:11" x14ac:dyDescent="0.35">
      <c r="B114" s="22">
        <v>206</v>
      </c>
      <c r="C114" s="22" t="s">
        <v>491</v>
      </c>
      <c r="D114" s="22" t="s">
        <v>488</v>
      </c>
      <c r="E114" s="22">
        <v>20602</v>
      </c>
      <c r="F114" s="63" t="s">
        <v>199</v>
      </c>
      <c r="G114" s="34">
        <v>16</v>
      </c>
      <c r="H114" s="64">
        <v>11.37</v>
      </c>
      <c r="I114" s="65">
        <v>4.9000000000000002E-2</v>
      </c>
      <c r="J114" s="34">
        <v>3</v>
      </c>
      <c r="K114" s="66">
        <v>0.1875</v>
      </c>
    </row>
    <row r="115" spans="2:11" x14ac:dyDescent="0.35">
      <c r="B115" s="22">
        <v>206</v>
      </c>
      <c r="C115" s="22" t="s">
        <v>491</v>
      </c>
      <c r="D115" s="22" t="s">
        <v>488</v>
      </c>
      <c r="E115" s="22">
        <v>20603</v>
      </c>
      <c r="F115" s="63" t="s">
        <v>200</v>
      </c>
      <c r="G115" s="34">
        <v>20</v>
      </c>
      <c r="H115" s="64">
        <v>10.94</v>
      </c>
      <c r="I115" s="65">
        <v>2.7000000000000003E-2</v>
      </c>
      <c r="J115" s="34">
        <v>4</v>
      </c>
      <c r="K115" s="66">
        <v>0.2</v>
      </c>
    </row>
    <row r="116" spans="2:11" x14ac:dyDescent="0.35">
      <c r="B116" s="22">
        <v>206</v>
      </c>
      <c r="C116" s="22" t="s">
        <v>491</v>
      </c>
      <c r="D116" s="22" t="s">
        <v>488</v>
      </c>
      <c r="E116" s="22">
        <v>20604</v>
      </c>
      <c r="F116" s="63" t="s">
        <v>201</v>
      </c>
      <c r="G116" s="34">
        <v>44</v>
      </c>
      <c r="H116" s="64">
        <v>11.86</v>
      </c>
      <c r="I116" s="65">
        <v>0.01</v>
      </c>
      <c r="J116" s="34">
        <v>21</v>
      </c>
      <c r="K116" s="66">
        <v>0.47727272727272729</v>
      </c>
    </row>
    <row r="117" spans="2:11" x14ac:dyDescent="0.35">
      <c r="B117" s="22">
        <v>206</v>
      </c>
      <c r="C117" s="22" t="s">
        <v>491</v>
      </c>
      <c r="D117" s="22" t="s">
        <v>488</v>
      </c>
      <c r="E117" s="22">
        <v>20605</v>
      </c>
      <c r="F117" s="63" t="s">
        <v>202</v>
      </c>
      <c r="G117" s="34">
        <v>37</v>
      </c>
      <c r="H117" s="64">
        <v>11.98</v>
      </c>
      <c r="I117" s="65">
        <v>3.2000000000000001E-2</v>
      </c>
      <c r="J117" s="34">
        <v>24</v>
      </c>
      <c r="K117" s="66">
        <v>0.64864864864864868</v>
      </c>
    </row>
    <row r="118" spans="2:11" x14ac:dyDescent="0.35">
      <c r="B118" s="22">
        <v>206</v>
      </c>
      <c r="C118" s="22" t="s">
        <v>491</v>
      </c>
      <c r="D118" s="22" t="s">
        <v>488</v>
      </c>
      <c r="E118" s="22">
        <v>20606</v>
      </c>
      <c r="F118" s="63" t="s">
        <v>203</v>
      </c>
      <c r="G118" s="34">
        <v>17</v>
      </c>
      <c r="H118" s="64">
        <v>12.24</v>
      </c>
      <c r="I118" s="65">
        <v>-2.2000000000000002E-2</v>
      </c>
      <c r="J118" s="34">
        <v>9</v>
      </c>
      <c r="K118" s="66">
        <v>0.52941176470588236</v>
      </c>
    </row>
    <row r="119" spans="2:11" x14ac:dyDescent="0.35">
      <c r="B119" s="22">
        <v>206</v>
      </c>
      <c r="C119" s="22" t="s">
        <v>491</v>
      </c>
      <c r="D119" s="22" t="s">
        <v>488</v>
      </c>
      <c r="E119" s="22">
        <v>20607</v>
      </c>
      <c r="F119" s="63" t="s">
        <v>204</v>
      </c>
      <c r="G119" s="34">
        <v>34</v>
      </c>
      <c r="H119" s="64">
        <v>11.39</v>
      </c>
      <c r="I119" s="65">
        <v>9.0000000000000011E-3</v>
      </c>
      <c r="J119" s="34">
        <v>10</v>
      </c>
      <c r="K119" s="66">
        <v>0.29411764705882354</v>
      </c>
    </row>
    <row r="120" spans="2:11" x14ac:dyDescent="0.35">
      <c r="B120" s="22">
        <v>207</v>
      </c>
      <c r="C120" s="22" t="s">
        <v>492</v>
      </c>
      <c r="D120" s="22" t="s">
        <v>488</v>
      </c>
      <c r="E120" s="22">
        <v>20701</v>
      </c>
      <c r="F120" s="63" t="s">
        <v>205</v>
      </c>
      <c r="G120" s="34">
        <v>40</v>
      </c>
      <c r="H120" s="64">
        <v>12.15</v>
      </c>
      <c r="I120" s="65">
        <v>3.0000000000000001E-3</v>
      </c>
      <c r="J120" s="34">
        <v>22</v>
      </c>
      <c r="K120" s="66">
        <v>0.55000000000000004</v>
      </c>
    </row>
    <row r="121" spans="2:11" x14ac:dyDescent="0.35">
      <c r="B121" s="22">
        <v>207</v>
      </c>
      <c r="C121" s="22" t="s">
        <v>492</v>
      </c>
      <c r="D121" s="22" t="s">
        <v>488</v>
      </c>
      <c r="E121" s="22">
        <v>20702</v>
      </c>
      <c r="F121" s="63" t="s">
        <v>206</v>
      </c>
      <c r="G121" s="34">
        <v>25</v>
      </c>
      <c r="H121" s="64">
        <v>10.46</v>
      </c>
      <c r="I121" s="65">
        <v>0</v>
      </c>
      <c r="J121" s="34">
        <v>2</v>
      </c>
      <c r="K121" s="66">
        <v>0.08</v>
      </c>
    </row>
    <row r="122" spans="2:11" x14ac:dyDescent="0.35">
      <c r="B122" s="22">
        <v>207</v>
      </c>
      <c r="C122" s="22" t="s">
        <v>492</v>
      </c>
      <c r="D122" s="22" t="s">
        <v>488</v>
      </c>
      <c r="E122" s="22">
        <v>20703</v>
      </c>
      <c r="F122" s="63" t="s">
        <v>207</v>
      </c>
      <c r="G122" s="34">
        <v>24</v>
      </c>
      <c r="H122" s="64">
        <v>11.23</v>
      </c>
      <c r="I122" s="65">
        <v>0.02</v>
      </c>
      <c r="J122" s="34">
        <v>6</v>
      </c>
      <c r="K122" s="66">
        <v>0.25</v>
      </c>
    </row>
    <row r="123" spans="2:11" x14ac:dyDescent="0.35">
      <c r="B123" s="22">
        <v>208</v>
      </c>
      <c r="C123" s="22" t="s">
        <v>493</v>
      </c>
      <c r="D123" s="22" t="s">
        <v>488</v>
      </c>
      <c r="E123" s="22">
        <v>20801</v>
      </c>
      <c r="F123" s="63" t="s">
        <v>208</v>
      </c>
      <c r="G123" s="34">
        <v>31</v>
      </c>
      <c r="H123" s="64">
        <v>12.35</v>
      </c>
      <c r="I123" s="65">
        <v>4.0000000000000001E-3</v>
      </c>
      <c r="J123" s="34">
        <v>20</v>
      </c>
      <c r="K123" s="66">
        <v>0.64516129032258063</v>
      </c>
    </row>
    <row r="124" spans="2:11" x14ac:dyDescent="0.35">
      <c r="B124" s="22">
        <v>208</v>
      </c>
      <c r="C124" s="22" t="s">
        <v>493</v>
      </c>
      <c r="D124" s="22" t="s">
        <v>488</v>
      </c>
      <c r="E124" s="22">
        <v>20802</v>
      </c>
      <c r="F124" s="63" t="s">
        <v>209</v>
      </c>
      <c r="G124" s="34">
        <v>56</v>
      </c>
      <c r="H124" s="64">
        <v>12.24</v>
      </c>
      <c r="I124" s="65">
        <v>2.7999999999999997E-2</v>
      </c>
      <c r="J124" s="34">
        <v>34</v>
      </c>
      <c r="K124" s="66">
        <v>0.6071428571428571</v>
      </c>
    </row>
    <row r="125" spans="2:11" x14ac:dyDescent="0.35">
      <c r="B125" s="22">
        <v>208</v>
      </c>
      <c r="C125" s="22" t="s">
        <v>493</v>
      </c>
      <c r="D125" s="22" t="s">
        <v>488</v>
      </c>
      <c r="E125" s="22">
        <v>20803</v>
      </c>
      <c r="F125" s="63" t="s">
        <v>210</v>
      </c>
      <c r="G125" s="34">
        <v>35</v>
      </c>
      <c r="H125" s="64">
        <v>10.99</v>
      </c>
      <c r="I125" s="65">
        <v>3.1E-2</v>
      </c>
      <c r="J125" s="34">
        <v>9</v>
      </c>
      <c r="K125" s="66">
        <v>0.25714285714285712</v>
      </c>
    </row>
    <row r="126" spans="2:11" x14ac:dyDescent="0.35">
      <c r="B126" s="22">
        <v>208</v>
      </c>
      <c r="C126" s="22" t="s">
        <v>493</v>
      </c>
      <c r="D126" s="22" t="s">
        <v>488</v>
      </c>
      <c r="E126" s="22">
        <v>20804</v>
      </c>
      <c r="F126" s="63" t="s">
        <v>211</v>
      </c>
      <c r="G126" s="34">
        <v>9</v>
      </c>
      <c r="H126" s="64">
        <v>11.84</v>
      </c>
      <c r="I126" s="65">
        <v>-8.0000000000000002E-3</v>
      </c>
      <c r="J126" s="34">
        <v>5</v>
      </c>
      <c r="K126" s="66">
        <v>0.55555555555555558</v>
      </c>
    </row>
    <row r="127" spans="2:11" x14ac:dyDescent="0.35">
      <c r="B127" s="22">
        <v>209</v>
      </c>
      <c r="C127" s="22" t="s">
        <v>494</v>
      </c>
      <c r="D127" s="22" t="s">
        <v>488</v>
      </c>
      <c r="E127" s="22">
        <v>20901</v>
      </c>
      <c r="F127" s="63" t="s">
        <v>212</v>
      </c>
      <c r="G127" s="34">
        <v>25</v>
      </c>
      <c r="H127" s="64">
        <v>12.19</v>
      </c>
      <c r="I127" s="65">
        <v>2.7999999999999997E-2</v>
      </c>
      <c r="J127" s="34">
        <v>5</v>
      </c>
      <c r="K127" s="66">
        <v>0.2</v>
      </c>
    </row>
    <row r="128" spans="2:11" x14ac:dyDescent="0.35">
      <c r="B128" s="22">
        <v>209</v>
      </c>
      <c r="C128" s="22" t="s">
        <v>494</v>
      </c>
      <c r="D128" s="22" t="s">
        <v>488</v>
      </c>
      <c r="E128" s="22">
        <v>20902</v>
      </c>
      <c r="F128" s="63" t="s">
        <v>213</v>
      </c>
      <c r="G128" s="34">
        <v>26</v>
      </c>
      <c r="H128" s="64">
        <v>10.48</v>
      </c>
      <c r="I128" s="65">
        <v>1.4999999999999999E-2</v>
      </c>
      <c r="J128" s="34">
        <v>1</v>
      </c>
      <c r="K128" s="66">
        <v>3.8461538461538464E-2</v>
      </c>
    </row>
    <row r="129" spans="2:11" x14ac:dyDescent="0.35">
      <c r="B129" s="22">
        <v>209</v>
      </c>
      <c r="C129" s="22" t="s">
        <v>494</v>
      </c>
      <c r="D129" s="22" t="s">
        <v>488</v>
      </c>
      <c r="E129" s="22">
        <v>20903</v>
      </c>
      <c r="F129" s="63" t="s">
        <v>214</v>
      </c>
      <c r="G129" s="34">
        <v>19</v>
      </c>
      <c r="H129" s="64">
        <v>10.31</v>
      </c>
      <c r="I129" s="65">
        <v>4.0999999999999995E-2</v>
      </c>
      <c r="J129" s="34">
        <v>4</v>
      </c>
      <c r="K129" s="66">
        <v>0.21052631578947367</v>
      </c>
    </row>
    <row r="130" spans="2:11" x14ac:dyDescent="0.35">
      <c r="B130" s="22">
        <v>209</v>
      </c>
      <c r="C130" s="22" t="s">
        <v>494</v>
      </c>
      <c r="D130" s="22" t="s">
        <v>488</v>
      </c>
      <c r="E130" s="22">
        <v>20904</v>
      </c>
      <c r="F130" s="63" t="s">
        <v>215</v>
      </c>
      <c r="G130" s="34">
        <v>54</v>
      </c>
      <c r="H130" s="64">
        <v>9.39</v>
      </c>
      <c r="I130" s="65">
        <v>4.4000000000000004E-2</v>
      </c>
      <c r="J130" s="34">
        <v>2</v>
      </c>
      <c r="K130" s="66">
        <v>3.7037037037037035E-2</v>
      </c>
    </row>
    <row r="131" spans="2:11" x14ac:dyDescent="0.35">
      <c r="B131" s="22">
        <v>210</v>
      </c>
      <c r="C131" s="22" t="s">
        <v>495</v>
      </c>
      <c r="D131" s="22" t="s">
        <v>488</v>
      </c>
      <c r="E131" s="22">
        <v>21001</v>
      </c>
      <c r="F131" s="63" t="s">
        <v>216</v>
      </c>
      <c r="G131" s="34">
        <v>11</v>
      </c>
      <c r="H131" s="64">
        <v>9.98</v>
      </c>
      <c r="I131" s="65">
        <v>2.8999999999999998E-2</v>
      </c>
      <c r="J131" s="34"/>
      <c r="K131" s="22"/>
    </row>
    <row r="132" spans="2:11" x14ac:dyDescent="0.35">
      <c r="B132" s="22">
        <v>210</v>
      </c>
      <c r="C132" s="22" t="s">
        <v>495</v>
      </c>
      <c r="D132" s="22" t="s">
        <v>488</v>
      </c>
      <c r="E132" s="22">
        <v>21002</v>
      </c>
      <c r="F132" s="63" t="s">
        <v>217</v>
      </c>
      <c r="G132" s="34">
        <v>7</v>
      </c>
      <c r="H132" s="64">
        <v>9.7100000000000009</v>
      </c>
      <c r="I132" s="65">
        <v>7.0000000000000007E-2</v>
      </c>
      <c r="J132" s="34"/>
      <c r="K132" s="22"/>
    </row>
    <row r="133" spans="2:11" x14ac:dyDescent="0.35">
      <c r="B133" s="22">
        <v>210</v>
      </c>
      <c r="C133" s="22" t="s">
        <v>495</v>
      </c>
      <c r="D133" s="22" t="s">
        <v>488</v>
      </c>
      <c r="E133" s="22">
        <v>21003</v>
      </c>
      <c r="F133" s="63" t="s">
        <v>218</v>
      </c>
      <c r="G133" s="34">
        <v>15</v>
      </c>
      <c r="H133" s="64">
        <v>10.14</v>
      </c>
      <c r="I133" s="65">
        <v>4.8000000000000001E-2</v>
      </c>
      <c r="J133" s="34"/>
      <c r="K133" s="22"/>
    </row>
    <row r="134" spans="2:11" x14ac:dyDescent="0.35">
      <c r="B134" s="22">
        <v>210</v>
      </c>
      <c r="C134" s="22" t="s">
        <v>495</v>
      </c>
      <c r="D134" s="22" t="s">
        <v>488</v>
      </c>
      <c r="E134" s="22">
        <v>21004</v>
      </c>
      <c r="F134" s="63" t="s">
        <v>219</v>
      </c>
      <c r="G134" s="34">
        <v>11</v>
      </c>
      <c r="H134" s="64">
        <v>9.1199999999999992</v>
      </c>
      <c r="I134" s="65">
        <v>0.02</v>
      </c>
      <c r="J134" s="34"/>
      <c r="K134" s="22"/>
    </row>
    <row r="135" spans="2:11" x14ac:dyDescent="0.35">
      <c r="B135" s="22">
        <v>210</v>
      </c>
      <c r="C135" s="22" t="s">
        <v>495</v>
      </c>
      <c r="D135" s="22" t="s">
        <v>488</v>
      </c>
      <c r="E135" s="22">
        <v>21005</v>
      </c>
      <c r="F135" s="63" t="s">
        <v>220</v>
      </c>
      <c r="G135" s="34">
        <v>37</v>
      </c>
      <c r="H135" s="64">
        <v>9.42</v>
      </c>
      <c r="I135" s="65">
        <v>6.2E-2</v>
      </c>
      <c r="J135" s="34">
        <v>1</v>
      </c>
      <c r="K135" s="66">
        <v>2.7027027027027029E-2</v>
      </c>
    </row>
    <row r="136" spans="2:11" x14ac:dyDescent="0.35">
      <c r="B136" s="22">
        <v>211</v>
      </c>
      <c r="C136" s="22" t="s">
        <v>496</v>
      </c>
      <c r="D136" s="22" t="s">
        <v>488</v>
      </c>
      <c r="E136" s="22">
        <v>21101</v>
      </c>
      <c r="F136" s="63" t="s">
        <v>221</v>
      </c>
      <c r="G136" s="34">
        <v>46</v>
      </c>
      <c r="H136" s="64">
        <v>10.25</v>
      </c>
      <c r="I136" s="65">
        <v>3.6000000000000004E-2</v>
      </c>
      <c r="J136" s="34">
        <v>6</v>
      </c>
      <c r="K136" s="66">
        <v>0.13043478260869565</v>
      </c>
    </row>
    <row r="137" spans="2:11" x14ac:dyDescent="0.35">
      <c r="B137" s="22">
        <v>211</v>
      </c>
      <c r="C137" s="22" t="s">
        <v>496</v>
      </c>
      <c r="D137" s="22" t="s">
        <v>488</v>
      </c>
      <c r="E137" s="22">
        <v>21102</v>
      </c>
      <c r="F137" s="63" t="s">
        <v>222</v>
      </c>
      <c r="G137" s="34">
        <v>5</v>
      </c>
      <c r="H137" s="64">
        <v>10.3</v>
      </c>
      <c r="I137" s="65"/>
      <c r="J137" s="34">
        <v>1</v>
      </c>
      <c r="K137" s="66">
        <v>0.2</v>
      </c>
    </row>
    <row r="138" spans="2:11" x14ac:dyDescent="0.35">
      <c r="B138" s="22">
        <v>211</v>
      </c>
      <c r="C138" s="22" t="s">
        <v>496</v>
      </c>
      <c r="D138" s="22" t="s">
        <v>488</v>
      </c>
      <c r="E138" s="22">
        <v>21103</v>
      </c>
      <c r="F138" s="63" t="s">
        <v>223</v>
      </c>
      <c r="G138" s="34">
        <v>36</v>
      </c>
      <c r="H138" s="64">
        <v>9.8000000000000007</v>
      </c>
      <c r="I138" s="65">
        <v>0.05</v>
      </c>
      <c r="J138" s="34"/>
      <c r="K138" s="22"/>
    </row>
    <row r="139" spans="2:11" x14ac:dyDescent="0.35">
      <c r="B139" s="22">
        <v>211</v>
      </c>
      <c r="C139" s="22" t="s">
        <v>496</v>
      </c>
      <c r="D139" s="22" t="s">
        <v>488</v>
      </c>
      <c r="E139" s="22">
        <v>21104</v>
      </c>
      <c r="F139" s="63" t="s">
        <v>224</v>
      </c>
      <c r="G139" s="34">
        <v>17</v>
      </c>
      <c r="H139" s="64">
        <v>10.26</v>
      </c>
      <c r="I139" s="65">
        <v>4.0000000000000001E-3</v>
      </c>
      <c r="J139" s="34">
        <v>1</v>
      </c>
      <c r="K139" s="66">
        <v>5.8823529411764705E-2</v>
      </c>
    </row>
    <row r="140" spans="2:11" x14ac:dyDescent="0.35">
      <c r="B140" s="22">
        <v>211</v>
      </c>
      <c r="C140" s="22" t="s">
        <v>496</v>
      </c>
      <c r="D140" s="22" t="s">
        <v>488</v>
      </c>
      <c r="E140" s="22">
        <v>21105</v>
      </c>
      <c r="F140" s="63" t="s">
        <v>225</v>
      </c>
      <c r="G140" s="34">
        <v>35</v>
      </c>
      <c r="H140" s="64">
        <v>9.35</v>
      </c>
      <c r="I140" s="65">
        <v>3.3000000000000002E-2</v>
      </c>
      <c r="J140" s="34"/>
      <c r="K140" s="22"/>
    </row>
    <row r="141" spans="2:11" x14ac:dyDescent="0.35">
      <c r="B141" s="22">
        <v>212</v>
      </c>
      <c r="C141" s="22" t="s">
        <v>497</v>
      </c>
      <c r="D141" s="22" t="s">
        <v>488</v>
      </c>
      <c r="E141" s="22">
        <v>21201</v>
      </c>
      <c r="F141" s="63" t="s">
        <v>226</v>
      </c>
      <c r="G141" s="34">
        <v>28</v>
      </c>
      <c r="H141" s="64">
        <v>9.0399999999999991</v>
      </c>
      <c r="I141" s="65">
        <v>5.7999999999999996E-2</v>
      </c>
      <c r="J141" s="34"/>
      <c r="K141" s="22"/>
    </row>
    <row r="142" spans="2:11" x14ac:dyDescent="0.35">
      <c r="B142" s="22">
        <v>212</v>
      </c>
      <c r="C142" s="22" t="s">
        <v>497</v>
      </c>
      <c r="D142" s="22" t="s">
        <v>488</v>
      </c>
      <c r="E142" s="22">
        <v>21202</v>
      </c>
      <c r="F142" s="63" t="s">
        <v>227</v>
      </c>
      <c r="G142" s="34">
        <v>31</v>
      </c>
      <c r="H142" s="64">
        <v>9.61</v>
      </c>
      <c r="I142" s="65">
        <v>9.0999999999999998E-2</v>
      </c>
      <c r="J142" s="34">
        <v>1</v>
      </c>
      <c r="K142" s="66">
        <v>3.2258064516129031E-2</v>
      </c>
    </row>
    <row r="143" spans="2:11" x14ac:dyDescent="0.35">
      <c r="B143" s="22">
        <v>212</v>
      </c>
      <c r="C143" s="22" t="s">
        <v>497</v>
      </c>
      <c r="D143" s="22" t="s">
        <v>488</v>
      </c>
      <c r="E143" s="22">
        <v>21203</v>
      </c>
      <c r="F143" s="63" t="s">
        <v>228</v>
      </c>
      <c r="G143" s="34">
        <v>56</v>
      </c>
      <c r="H143" s="64">
        <v>9.32</v>
      </c>
      <c r="I143" s="65">
        <v>0.10199999999999999</v>
      </c>
      <c r="J143" s="34"/>
      <c r="K143" s="22"/>
    </row>
    <row r="144" spans="2:11" x14ac:dyDescent="0.35">
      <c r="B144" s="22">
        <v>212</v>
      </c>
      <c r="C144" s="22" t="s">
        <v>497</v>
      </c>
      <c r="D144" s="22" t="s">
        <v>488</v>
      </c>
      <c r="E144" s="22">
        <v>21204</v>
      </c>
      <c r="F144" s="63" t="s">
        <v>229</v>
      </c>
      <c r="G144" s="34">
        <v>44</v>
      </c>
      <c r="H144" s="64">
        <v>9.56</v>
      </c>
      <c r="I144" s="65">
        <v>7.8E-2</v>
      </c>
      <c r="J144" s="34"/>
      <c r="K144" s="22"/>
    </row>
    <row r="145" spans="2:11" x14ac:dyDescent="0.35">
      <c r="B145" s="22">
        <v>212</v>
      </c>
      <c r="C145" s="22" t="s">
        <v>497</v>
      </c>
      <c r="D145" s="22" t="s">
        <v>488</v>
      </c>
      <c r="E145" s="22">
        <v>21205</v>
      </c>
      <c r="F145" s="63" t="s">
        <v>230</v>
      </c>
      <c r="G145" s="34">
        <v>46</v>
      </c>
      <c r="H145" s="64">
        <v>10.44</v>
      </c>
      <c r="I145" s="65">
        <v>9.0000000000000011E-3</v>
      </c>
      <c r="J145" s="34">
        <v>2</v>
      </c>
      <c r="K145" s="66">
        <v>4.3478260869565216E-2</v>
      </c>
    </row>
    <row r="146" spans="2:11" x14ac:dyDescent="0.35">
      <c r="B146" s="22">
        <v>213</v>
      </c>
      <c r="C146" s="22" t="s">
        <v>498</v>
      </c>
      <c r="D146" s="22" t="s">
        <v>488</v>
      </c>
      <c r="E146" s="22">
        <v>21301</v>
      </c>
      <c r="F146" s="63" t="s">
        <v>231</v>
      </c>
      <c r="G146" s="34">
        <v>43</v>
      </c>
      <c r="H146" s="64">
        <v>9.3000000000000007</v>
      </c>
      <c r="I146" s="65">
        <v>7.5999999999999998E-2</v>
      </c>
      <c r="J146" s="34"/>
      <c r="K146" s="22"/>
    </row>
    <row r="147" spans="2:11" x14ac:dyDescent="0.35">
      <c r="B147" s="22">
        <v>213</v>
      </c>
      <c r="C147" s="22" t="s">
        <v>498</v>
      </c>
      <c r="D147" s="22" t="s">
        <v>488</v>
      </c>
      <c r="E147" s="22">
        <v>21302</v>
      </c>
      <c r="F147" s="63" t="s">
        <v>232</v>
      </c>
      <c r="G147" s="34">
        <v>20</v>
      </c>
      <c r="H147" s="64">
        <v>10.49</v>
      </c>
      <c r="I147" s="65">
        <v>0.01</v>
      </c>
      <c r="J147" s="34">
        <v>1</v>
      </c>
      <c r="K147" s="66">
        <v>0.05</v>
      </c>
    </row>
    <row r="148" spans="2:11" x14ac:dyDescent="0.35">
      <c r="B148" s="22">
        <v>213</v>
      </c>
      <c r="C148" s="22" t="s">
        <v>498</v>
      </c>
      <c r="D148" s="22" t="s">
        <v>488</v>
      </c>
      <c r="E148" s="22">
        <v>21303</v>
      </c>
      <c r="F148" s="63" t="s">
        <v>233</v>
      </c>
      <c r="G148" s="34">
        <v>20</v>
      </c>
      <c r="H148" s="64">
        <v>10.72</v>
      </c>
      <c r="I148" s="65">
        <v>3.3000000000000002E-2</v>
      </c>
      <c r="J148" s="34">
        <v>5</v>
      </c>
      <c r="K148" s="66">
        <v>0.25</v>
      </c>
    </row>
    <row r="149" spans="2:11" x14ac:dyDescent="0.35">
      <c r="B149" s="22">
        <v>213</v>
      </c>
      <c r="C149" s="22" t="s">
        <v>498</v>
      </c>
      <c r="D149" s="22" t="s">
        <v>488</v>
      </c>
      <c r="E149" s="22">
        <v>21304</v>
      </c>
      <c r="F149" s="63" t="s">
        <v>234</v>
      </c>
      <c r="G149" s="34">
        <v>45</v>
      </c>
      <c r="H149" s="64">
        <v>9.14</v>
      </c>
      <c r="I149" s="65">
        <v>5.0999999999999997E-2</v>
      </c>
      <c r="J149" s="34"/>
      <c r="K149" s="22"/>
    </row>
    <row r="150" spans="2:11" x14ac:dyDescent="0.35">
      <c r="B150" s="22">
        <v>213</v>
      </c>
      <c r="C150" s="22" t="s">
        <v>498</v>
      </c>
      <c r="D150" s="22" t="s">
        <v>488</v>
      </c>
      <c r="E150" s="22">
        <v>21305</v>
      </c>
      <c r="F150" s="63" t="s">
        <v>235</v>
      </c>
      <c r="G150" s="34">
        <v>73</v>
      </c>
      <c r="H150" s="64">
        <v>9.94</v>
      </c>
      <c r="I150" s="65">
        <v>5.2999999999999999E-2</v>
      </c>
      <c r="J150" s="34"/>
      <c r="K150" s="22"/>
    </row>
    <row r="151" spans="2:11" x14ac:dyDescent="0.35">
      <c r="B151" s="22">
        <v>214</v>
      </c>
      <c r="C151" s="22" t="s">
        <v>237</v>
      </c>
      <c r="D151" s="22" t="s">
        <v>488</v>
      </c>
      <c r="E151" s="22">
        <v>21401</v>
      </c>
      <c r="F151" s="63" t="s">
        <v>236</v>
      </c>
      <c r="G151" s="34">
        <v>41</v>
      </c>
      <c r="H151" s="64">
        <v>9.69</v>
      </c>
      <c r="I151" s="65">
        <v>4.2999999999999997E-2</v>
      </c>
      <c r="J151" s="34">
        <v>1</v>
      </c>
      <c r="K151" s="66">
        <v>2.4390243902439025E-2</v>
      </c>
    </row>
    <row r="152" spans="2:11" x14ac:dyDescent="0.35">
      <c r="B152" s="22">
        <v>214</v>
      </c>
      <c r="C152" s="22" t="s">
        <v>237</v>
      </c>
      <c r="D152" s="22" t="s">
        <v>488</v>
      </c>
      <c r="E152" s="22">
        <v>21402</v>
      </c>
      <c r="F152" s="63" t="s">
        <v>237</v>
      </c>
      <c r="G152" s="34">
        <v>32</v>
      </c>
      <c r="H152" s="64">
        <v>9.7899999999999991</v>
      </c>
      <c r="I152" s="65">
        <v>7.9000000000000001E-2</v>
      </c>
      <c r="J152" s="34">
        <v>1</v>
      </c>
      <c r="K152" s="66">
        <v>3.125E-2</v>
      </c>
    </row>
    <row r="153" spans="2:11" x14ac:dyDescent="0.35">
      <c r="B153" s="22">
        <v>215</v>
      </c>
      <c r="C153" s="22" t="s">
        <v>499</v>
      </c>
      <c r="D153" s="22" t="s">
        <v>488</v>
      </c>
      <c r="E153" s="22">
        <v>21501</v>
      </c>
      <c r="F153" s="63" t="s">
        <v>238</v>
      </c>
      <c r="G153" s="34">
        <v>16</v>
      </c>
      <c r="H153" s="64">
        <v>9.1300000000000008</v>
      </c>
      <c r="I153" s="65">
        <v>4.0000000000000001E-3</v>
      </c>
      <c r="J153" s="34">
        <v>1</v>
      </c>
      <c r="K153" s="66">
        <v>6.25E-2</v>
      </c>
    </row>
    <row r="154" spans="2:11" x14ac:dyDescent="0.35">
      <c r="B154" s="22">
        <v>215</v>
      </c>
      <c r="C154" s="22" t="s">
        <v>499</v>
      </c>
      <c r="D154" s="22" t="s">
        <v>488</v>
      </c>
      <c r="E154" s="22">
        <v>21502</v>
      </c>
      <c r="F154" s="63" t="s">
        <v>239</v>
      </c>
      <c r="G154" s="34">
        <v>13</v>
      </c>
      <c r="H154" s="64">
        <v>9.02</v>
      </c>
      <c r="I154" s="65">
        <v>0.05</v>
      </c>
      <c r="J154" s="34"/>
      <c r="K154" s="22"/>
    </row>
    <row r="155" spans="2:11" x14ac:dyDescent="0.35">
      <c r="B155" s="22">
        <v>215</v>
      </c>
      <c r="C155" s="22" t="s">
        <v>499</v>
      </c>
      <c r="D155" s="22" t="s">
        <v>488</v>
      </c>
      <c r="E155" s="22">
        <v>21503</v>
      </c>
      <c r="F155" s="63" t="s">
        <v>240</v>
      </c>
      <c r="G155" s="34">
        <v>9</v>
      </c>
      <c r="H155" s="64">
        <v>10.02</v>
      </c>
      <c r="I155" s="65">
        <v>3.1E-2</v>
      </c>
      <c r="J155" s="34">
        <v>1</v>
      </c>
      <c r="K155" s="66">
        <v>0.1111111111111111</v>
      </c>
    </row>
    <row r="156" spans="2:11" x14ac:dyDescent="0.35">
      <c r="B156" s="22">
        <v>216</v>
      </c>
      <c r="C156" s="22" t="s">
        <v>243</v>
      </c>
      <c r="D156" s="22" t="s">
        <v>488</v>
      </c>
      <c r="E156" s="22">
        <v>21601</v>
      </c>
      <c r="F156" s="63" t="s">
        <v>241</v>
      </c>
      <c r="G156" s="34">
        <v>7</v>
      </c>
      <c r="H156" s="64">
        <v>9.26</v>
      </c>
      <c r="I156" s="65">
        <v>2.2000000000000002E-2</v>
      </c>
      <c r="J156" s="34"/>
      <c r="K156" s="22"/>
    </row>
    <row r="157" spans="2:11" x14ac:dyDescent="0.35">
      <c r="B157" s="22">
        <v>216</v>
      </c>
      <c r="C157" s="22" t="s">
        <v>243</v>
      </c>
      <c r="D157" s="22" t="s">
        <v>488</v>
      </c>
      <c r="E157" s="22">
        <v>21602</v>
      </c>
      <c r="F157" s="63" t="s">
        <v>242</v>
      </c>
      <c r="G157" s="34">
        <v>9</v>
      </c>
      <c r="H157" s="64">
        <v>9.1199999999999992</v>
      </c>
      <c r="I157" s="65">
        <v>7.8E-2</v>
      </c>
      <c r="J157" s="34"/>
      <c r="K157" s="22"/>
    </row>
    <row r="158" spans="2:11" x14ac:dyDescent="0.35">
      <c r="B158" s="22">
        <v>216</v>
      </c>
      <c r="C158" s="22" t="s">
        <v>243</v>
      </c>
      <c r="D158" s="22" t="s">
        <v>488</v>
      </c>
      <c r="E158" s="22">
        <v>21603</v>
      </c>
      <c r="F158" s="63" t="s">
        <v>243</v>
      </c>
      <c r="G158" s="34">
        <v>21</v>
      </c>
      <c r="H158" s="64">
        <v>9.74</v>
      </c>
      <c r="I158" s="65">
        <v>2.6000000000000002E-2</v>
      </c>
      <c r="J158" s="34">
        <v>2</v>
      </c>
      <c r="K158" s="66">
        <v>9.5238095238095233E-2</v>
      </c>
    </row>
    <row r="159" spans="2:11" x14ac:dyDescent="0.35">
      <c r="B159" s="22">
        <v>217</v>
      </c>
      <c r="C159" s="22" t="s">
        <v>500</v>
      </c>
      <c r="D159" s="22" t="s">
        <v>488</v>
      </c>
      <c r="E159" s="22">
        <v>21701</v>
      </c>
      <c r="F159" s="63" t="s">
        <v>244</v>
      </c>
      <c r="G159" s="34">
        <v>8</v>
      </c>
      <c r="H159" s="64">
        <v>9.39</v>
      </c>
      <c r="I159" s="65">
        <v>1.8000000000000002E-2</v>
      </c>
      <c r="J159" s="34"/>
      <c r="K159" s="22"/>
    </row>
    <row r="160" spans="2:11" x14ac:dyDescent="0.35">
      <c r="B160" s="22">
        <v>217</v>
      </c>
      <c r="C160" s="22" t="s">
        <v>500</v>
      </c>
      <c r="D160" s="22" t="s">
        <v>488</v>
      </c>
      <c r="E160" s="22">
        <v>21703</v>
      </c>
      <c r="F160" s="63" t="s">
        <v>245</v>
      </c>
      <c r="G160" s="34">
        <v>9</v>
      </c>
      <c r="H160" s="64">
        <v>10.130000000000001</v>
      </c>
      <c r="I160" s="65">
        <v>6.2E-2</v>
      </c>
      <c r="J160" s="34">
        <v>1</v>
      </c>
      <c r="K160" s="66">
        <v>0.1111111111111111</v>
      </c>
    </row>
    <row r="161" spans="2:11" x14ac:dyDescent="0.35">
      <c r="B161" s="22">
        <v>217</v>
      </c>
      <c r="C161" s="22" t="s">
        <v>500</v>
      </c>
      <c r="D161" s="22" t="s">
        <v>488</v>
      </c>
      <c r="E161" s="22">
        <v>21704</v>
      </c>
      <c r="F161" s="63" t="s">
        <v>246</v>
      </c>
      <c r="G161" s="34">
        <v>15</v>
      </c>
      <c r="H161" s="64">
        <v>9.35</v>
      </c>
      <c r="I161" s="65">
        <v>0.02</v>
      </c>
      <c r="J161" s="34"/>
      <c r="K161" s="22"/>
    </row>
    <row r="162" spans="2:11" x14ac:dyDescent="0.35">
      <c r="B162" s="22">
        <v>301</v>
      </c>
      <c r="C162" s="22" t="s">
        <v>501</v>
      </c>
      <c r="D162" s="22" t="s">
        <v>502</v>
      </c>
      <c r="E162" s="22">
        <v>30101</v>
      </c>
      <c r="F162" s="63" t="s">
        <v>247</v>
      </c>
      <c r="G162" s="34">
        <v>26</v>
      </c>
      <c r="H162" s="64">
        <v>8.32</v>
      </c>
      <c r="I162" s="65">
        <v>7.6999999999999999E-2</v>
      </c>
      <c r="J162" s="34"/>
      <c r="K162" s="22"/>
    </row>
    <row r="163" spans="2:11" x14ac:dyDescent="0.35">
      <c r="B163" s="22">
        <v>301</v>
      </c>
      <c r="C163" s="22" t="s">
        <v>501</v>
      </c>
      <c r="D163" s="22" t="s">
        <v>502</v>
      </c>
      <c r="E163" s="22">
        <v>30102</v>
      </c>
      <c r="F163" s="63" t="s">
        <v>248</v>
      </c>
      <c r="G163" s="34">
        <v>26</v>
      </c>
      <c r="H163" s="64">
        <v>8.74</v>
      </c>
      <c r="I163" s="65">
        <v>8.199999999999999E-2</v>
      </c>
      <c r="J163" s="34">
        <v>1</v>
      </c>
      <c r="K163" s="66">
        <v>3.8461538461538464E-2</v>
      </c>
    </row>
    <row r="164" spans="2:11" x14ac:dyDescent="0.35">
      <c r="B164" s="22">
        <v>301</v>
      </c>
      <c r="C164" s="22" t="s">
        <v>501</v>
      </c>
      <c r="D164" s="22" t="s">
        <v>502</v>
      </c>
      <c r="E164" s="22">
        <v>30103</v>
      </c>
      <c r="F164" s="63" t="s">
        <v>249</v>
      </c>
      <c r="G164" s="34">
        <v>20</v>
      </c>
      <c r="H164" s="64">
        <v>8.99</v>
      </c>
      <c r="I164" s="65">
        <v>4.9000000000000002E-2</v>
      </c>
      <c r="J164" s="34"/>
      <c r="K164" s="22"/>
    </row>
    <row r="165" spans="2:11" x14ac:dyDescent="0.35">
      <c r="B165" s="22">
        <v>302</v>
      </c>
      <c r="C165" s="22" t="s">
        <v>503</v>
      </c>
      <c r="D165" s="22" t="s">
        <v>502</v>
      </c>
      <c r="E165" s="22">
        <v>30201</v>
      </c>
      <c r="F165" s="63" t="s">
        <v>250</v>
      </c>
      <c r="G165" s="34">
        <v>13</v>
      </c>
      <c r="H165" s="64">
        <v>8.7100000000000009</v>
      </c>
      <c r="I165" s="65">
        <v>3.6000000000000004E-2</v>
      </c>
      <c r="J165" s="34"/>
      <c r="K165" s="22"/>
    </row>
    <row r="166" spans="2:11" x14ac:dyDescent="0.35">
      <c r="B166" s="22">
        <v>302</v>
      </c>
      <c r="C166" s="22" t="s">
        <v>503</v>
      </c>
      <c r="D166" s="22" t="s">
        <v>502</v>
      </c>
      <c r="E166" s="22">
        <v>30202</v>
      </c>
      <c r="F166" s="63" t="s">
        <v>251</v>
      </c>
      <c r="G166" s="34">
        <v>26</v>
      </c>
      <c r="H166" s="64">
        <v>9.23</v>
      </c>
      <c r="I166" s="65">
        <v>7.0999999999999994E-2</v>
      </c>
      <c r="J166" s="34"/>
      <c r="K166" s="22"/>
    </row>
    <row r="167" spans="2:11" x14ac:dyDescent="0.35">
      <c r="B167" s="22">
        <v>302</v>
      </c>
      <c r="C167" s="22" t="s">
        <v>503</v>
      </c>
      <c r="D167" s="22" t="s">
        <v>502</v>
      </c>
      <c r="E167" s="22">
        <v>30203</v>
      </c>
      <c r="F167" s="63" t="s">
        <v>252</v>
      </c>
      <c r="G167" s="34">
        <v>15</v>
      </c>
      <c r="H167" s="64">
        <v>9.25</v>
      </c>
      <c r="I167" s="65">
        <v>6.7000000000000004E-2</v>
      </c>
      <c r="J167" s="34"/>
      <c r="K167" s="22"/>
    </row>
    <row r="168" spans="2:11" x14ac:dyDescent="0.35">
      <c r="B168" s="22">
        <v>302</v>
      </c>
      <c r="C168" s="22" t="s">
        <v>503</v>
      </c>
      <c r="D168" s="22" t="s">
        <v>502</v>
      </c>
      <c r="E168" s="22">
        <v>30204</v>
      </c>
      <c r="F168" s="63" t="s">
        <v>253</v>
      </c>
      <c r="G168" s="34">
        <v>18</v>
      </c>
      <c r="H168" s="64">
        <v>9.09</v>
      </c>
      <c r="I168" s="65">
        <v>0.16</v>
      </c>
      <c r="J168" s="34"/>
      <c r="K168" s="22"/>
    </row>
    <row r="169" spans="2:11" x14ac:dyDescent="0.35">
      <c r="B169" s="22">
        <v>303</v>
      </c>
      <c r="C169" s="22" t="s">
        <v>504</v>
      </c>
      <c r="D169" s="22" t="s">
        <v>502</v>
      </c>
      <c r="E169" s="22">
        <v>30301</v>
      </c>
      <c r="F169" s="63" t="s">
        <v>254</v>
      </c>
      <c r="G169" s="34">
        <v>12</v>
      </c>
      <c r="H169" s="64">
        <v>9.61</v>
      </c>
      <c r="I169" s="65">
        <v>6.8000000000000005E-2</v>
      </c>
      <c r="J169" s="34"/>
      <c r="K169" s="22"/>
    </row>
    <row r="170" spans="2:11" x14ac:dyDescent="0.35">
      <c r="B170" s="22">
        <v>303</v>
      </c>
      <c r="C170" s="22" t="s">
        <v>504</v>
      </c>
      <c r="D170" s="22" t="s">
        <v>502</v>
      </c>
      <c r="E170" s="22">
        <v>30302</v>
      </c>
      <c r="F170" s="63" t="s">
        <v>255</v>
      </c>
      <c r="G170" s="34">
        <v>27</v>
      </c>
      <c r="H170" s="64">
        <v>9.6199999999999992</v>
      </c>
      <c r="I170" s="65">
        <v>3.2000000000000001E-2</v>
      </c>
      <c r="J170" s="34"/>
      <c r="K170" s="22"/>
    </row>
    <row r="171" spans="2:11" x14ac:dyDescent="0.35">
      <c r="B171" s="22">
        <v>303</v>
      </c>
      <c r="C171" s="22" t="s">
        <v>504</v>
      </c>
      <c r="D171" s="22" t="s">
        <v>502</v>
      </c>
      <c r="E171" s="22">
        <v>30303</v>
      </c>
      <c r="F171" s="63" t="s">
        <v>256</v>
      </c>
      <c r="G171" s="34">
        <v>27</v>
      </c>
      <c r="H171" s="64">
        <v>8.86</v>
      </c>
      <c r="I171" s="65">
        <v>6.9000000000000006E-2</v>
      </c>
      <c r="J171" s="34"/>
      <c r="K171" s="22"/>
    </row>
    <row r="172" spans="2:11" x14ac:dyDescent="0.35">
      <c r="B172" s="22">
        <v>303</v>
      </c>
      <c r="C172" s="22" t="s">
        <v>504</v>
      </c>
      <c r="D172" s="22" t="s">
        <v>502</v>
      </c>
      <c r="E172" s="22">
        <v>30304</v>
      </c>
      <c r="F172" s="63" t="s">
        <v>257</v>
      </c>
      <c r="G172" s="34">
        <v>15</v>
      </c>
      <c r="H172" s="64">
        <v>10.23</v>
      </c>
      <c r="I172" s="65">
        <v>6.3E-2</v>
      </c>
      <c r="J172" s="34"/>
      <c r="K172" s="22"/>
    </row>
    <row r="173" spans="2:11" x14ac:dyDescent="0.35">
      <c r="B173" s="22">
        <v>303</v>
      </c>
      <c r="C173" s="22" t="s">
        <v>504</v>
      </c>
      <c r="D173" s="22" t="s">
        <v>502</v>
      </c>
      <c r="E173" s="22">
        <v>30305</v>
      </c>
      <c r="F173" s="63" t="s">
        <v>258</v>
      </c>
      <c r="G173" s="34">
        <v>19</v>
      </c>
      <c r="H173" s="64">
        <v>9.0500000000000007</v>
      </c>
      <c r="I173" s="65">
        <v>0.11599999999999999</v>
      </c>
      <c r="J173" s="34"/>
      <c r="K173" s="22"/>
    </row>
    <row r="174" spans="2:11" x14ac:dyDescent="0.35">
      <c r="B174" s="22">
        <v>303</v>
      </c>
      <c r="C174" s="22" t="s">
        <v>504</v>
      </c>
      <c r="D174" s="22" t="s">
        <v>502</v>
      </c>
      <c r="E174" s="22">
        <v>30306</v>
      </c>
      <c r="F174" s="63" t="s">
        <v>259</v>
      </c>
      <c r="G174" s="34">
        <v>14</v>
      </c>
      <c r="H174" s="64">
        <v>8.57</v>
      </c>
      <c r="I174" s="65">
        <v>0.01</v>
      </c>
      <c r="J174" s="34"/>
      <c r="K174" s="22"/>
    </row>
    <row r="175" spans="2:11" x14ac:dyDescent="0.35">
      <c r="B175" s="22">
        <v>304</v>
      </c>
      <c r="C175" s="22" t="s">
        <v>505</v>
      </c>
      <c r="D175" s="22" t="s">
        <v>502</v>
      </c>
      <c r="E175" s="22">
        <v>30401</v>
      </c>
      <c r="F175" s="63" t="s">
        <v>260</v>
      </c>
      <c r="G175" s="34">
        <v>8</v>
      </c>
      <c r="H175" s="64">
        <v>9.41</v>
      </c>
      <c r="I175" s="65">
        <v>7.2999999999999995E-2</v>
      </c>
      <c r="J175" s="34"/>
      <c r="K175" s="22"/>
    </row>
    <row r="176" spans="2:11" x14ac:dyDescent="0.35">
      <c r="B176" s="22">
        <v>304</v>
      </c>
      <c r="C176" s="22" t="s">
        <v>505</v>
      </c>
      <c r="D176" s="22" t="s">
        <v>502</v>
      </c>
      <c r="E176" s="22">
        <v>30402</v>
      </c>
      <c r="F176" s="63" t="s">
        <v>261</v>
      </c>
      <c r="G176" s="34">
        <v>11</v>
      </c>
      <c r="H176" s="64">
        <v>9.73</v>
      </c>
      <c r="I176" s="65">
        <v>5.0999999999999997E-2</v>
      </c>
      <c r="J176" s="34"/>
      <c r="K176" s="22"/>
    </row>
    <row r="177" spans="2:11" x14ac:dyDescent="0.35">
      <c r="B177" s="22">
        <v>304</v>
      </c>
      <c r="C177" s="22" t="s">
        <v>505</v>
      </c>
      <c r="D177" s="22" t="s">
        <v>502</v>
      </c>
      <c r="E177" s="22">
        <v>30403</v>
      </c>
      <c r="F177" s="63" t="s">
        <v>262</v>
      </c>
      <c r="G177" s="34">
        <v>15</v>
      </c>
      <c r="H177" s="64">
        <v>9.8800000000000008</v>
      </c>
      <c r="I177" s="65">
        <v>1.4999999999999999E-2</v>
      </c>
      <c r="J177" s="34"/>
      <c r="K177" s="22"/>
    </row>
    <row r="178" spans="2:11" x14ac:dyDescent="0.35">
      <c r="B178" s="22">
        <v>304</v>
      </c>
      <c r="C178" s="22" t="s">
        <v>505</v>
      </c>
      <c r="D178" s="22" t="s">
        <v>502</v>
      </c>
      <c r="E178" s="22">
        <v>30404</v>
      </c>
      <c r="F178" s="63" t="s">
        <v>263</v>
      </c>
      <c r="G178" s="34">
        <v>19</v>
      </c>
      <c r="H178" s="64">
        <v>9.2200000000000006</v>
      </c>
      <c r="I178" s="65">
        <v>4.2999999999999997E-2</v>
      </c>
      <c r="J178" s="34"/>
      <c r="K178" s="22"/>
    </row>
    <row r="179" spans="2:11" x14ac:dyDescent="0.35">
      <c r="B179" s="22">
        <v>305</v>
      </c>
      <c r="C179" s="22" t="s">
        <v>506</v>
      </c>
      <c r="D179" s="22" t="s">
        <v>502</v>
      </c>
      <c r="E179" s="22">
        <v>30501</v>
      </c>
      <c r="F179" s="63" t="s">
        <v>264</v>
      </c>
      <c r="G179" s="34">
        <v>28</v>
      </c>
      <c r="H179" s="64">
        <v>10.53</v>
      </c>
      <c r="I179" s="65">
        <v>2.2000000000000002E-2</v>
      </c>
      <c r="J179" s="34">
        <v>5</v>
      </c>
      <c r="K179" s="66">
        <v>0.17857142857142858</v>
      </c>
    </row>
    <row r="180" spans="2:11" x14ac:dyDescent="0.35">
      <c r="B180" s="22">
        <v>305</v>
      </c>
      <c r="C180" s="22" t="s">
        <v>506</v>
      </c>
      <c r="D180" s="22" t="s">
        <v>502</v>
      </c>
      <c r="E180" s="22">
        <v>30502</v>
      </c>
      <c r="F180" s="63" t="s">
        <v>265</v>
      </c>
      <c r="G180" s="34">
        <v>12</v>
      </c>
      <c r="H180" s="64">
        <v>10.66</v>
      </c>
      <c r="I180" s="65">
        <v>1.1000000000000001E-2</v>
      </c>
      <c r="J180" s="34">
        <v>1</v>
      </c>
      <c r="K180" s="66">
        <v>8.3333333333333329E-2</v>
      </c>
    </row>
    <row r="181" spans="2:11" x14ac:dyDescent="0.35">
      <c r="B181" s="22">
        <v>305</v>
      </c>
      <c r="C181" s="22" t="s">
        <v>506</v>
      </c>
      <c r="D181" s="22" t="s">
        <v>502</v>
      </c>
      <c r="E181" s="22">
        <v>30503</v>
      </c>
      <c r="F181" s="63" t="s">
        <v>266</v>
      </c>
      <c r="G181" s="34">
        <v>31</v>
      </c>
      <c r="H181" s="64">
        <v>9.92</v>
      </c>
      <c r="I181" s="65">
        <v>3.6000000000000004E-2</v>
      </c>
      <c r="J181" s="34">
        <v>1</v>
      </c>
      <c r="K181" s="66">
        <v>3.2258064516129031E-2</v>
      </c>
    </row>
    <row r="182" spans="2:11" x14ac:dyDescent="0.35">
      <c r="B182" s="22">
        <v>305</v>
      </c>
      <c r="C182" s="22" t="s">
        <v>506</v>
      </c>
      <c r="D182" s="22" t="s">
        <v>502</v>
      </c>
      <c r="E182" s="22">
        <v>30504</v>
      </c>
      <c r="F182" s="63" t="s">
        <v>267</v>
      </c>
      <c r="G182" s="34">
        <v>15</v>
      </c>
      <c r="H182" s="64">
        <v>10.38</v>
      </c>
      <c r="I182" s="65">
        <v>3.1E-2</v>
      </c>
      <c r="J182" s="34"/>
      <c r="K182" s="22"/>
    </row>
    <row r="183" spans="2:11" x14ac:dyDescent="0.35">
      <c r="B183" s="22">
        <v>306</v>
      </c>
      <c r="C183" s="22" t="s">
        <v>507</v>
      </c>
      <c r="D183" s="22" t="s">
        <v>502</v>
      </c>
      <c r="E183" s="22">
        <v>30601</v>
      </c>
      <c r="F183" s="63" t="s">
        <v>268</v>
      </c>
      <c r="G183" s="34">
        <v>20</v>
      </c>
      <c r="H183" s="64">
        <v>8.7899999999999991</v>
      </c>
      <c r="I183" s="65">
        <v>6.9000000000000006E-2</v>
      </c>
      <c r="J183" s="34"/>
      <c r="K183" s="22"/>
    </row>
    <row r="184" spans="2:11" x14ac:dyDescent="0.35">
      <c r="B184" s="22">
        <v>306</v>
      </c>
      <c r="C184" s="22" t="s">
        <v>507</v>
      </c>
      <c r="D184" s="22" t="s">
        <v>502</v>
      </c>
      <c r="E184" s="22">
        <v>30602</v>
      </c>
      <c r="F184" s="63" t="s">
        <v>269</v>
      </c>
      <c r="G184" s="34">
        <v>41</v>
      </c>
      <c r="H184" s="64">
        <v>9.26</v>
      </c>
      <c r="I184" s="65">
        <v>0.14599999999999999</v>
      </c>
      <c r="J184" s="34"/>
      <c r="K184" s="22"/>
    </row>
    <row r="185" spans="2:11" x14ac:dyDescent="0.35">
      <c r="B185" s="22">
        <v>306</v>
      </c>
      <c r="C185" s="22" t="s">
        <v>507</v>
      </c>
      <c r="D185" s="22" t="s">
        <v>502</v>
      </c>
      <c r="E185" s="22">
        <v>30603</v>
      </c>
      <c r="F185" s="63" t="s">
        <v>270</v>
      </c>
      <c r="G185" s="34">
        <v>11</v>
      </c>
      <c r="H185" s="64">
        <v>6.96</v>
      </c>
      <c r="I185" s="65">
        <v>3.0000000000000001E-3</v>
      </c>
      <c r="J185" s="34"/>
      <c r="K185" s="22"/>
    </row>
    <row r="186" spans="2:11" x14ac:dyDescent="0.35">
      <c r="B186" s="22">
        <v>306</v>
      </c>
      <c r="C186" s="22" t="s">
        <v>507</v>
      </c>
      <c r="D186" s="22" t="s">
        <v>502</v>
      </c>
      <c r="E186" s="22">
        <v>30604</v>
      </c>
      <c r="F186" s="63" t="s">
        <v>271</v>
      </c>
      <c r="G186" s="34" t="s">
        <v>464</v>
      </c>
      <c r="H186" s="64"/>
      <c r="I186" s="65"/>
      <c r="J186" s="34"/>
      <c r="K186" s="22"/>
    </row>
    <row r="187" spans="2:11" x14ac:dyDescent="0.35">
      <c r="B187" s="22">
        <v>306</v>
      </c>
      <c r="C187" s="22" t="s">
        <v>507</v>
      </c>
      <c r="D187" s="22" t="s">
        <v>502</v>
      </c>
      <c r="E187" s="22">
        <v>30605</v>
      </c>
      <c r="F187" s="63" t="s">
        <v>272</v>
      </c>
      <c r="G187" s="34">
        <v>8</v>
      </c>
      <c r="H187" s="64">
        <v>7.15</v>
      </c>
      <c r="I187" s="65">
        <v>7.2000000000000008E-2</v>
      </c>
      <c r="J187" s="34"/>
      <c r="K187" s="22"/>
    </row>
    <row r="188" spans="2:11" x14ac:dyDescent="0.35">
      <c r="B188" s="22">
        <v>307</v>
      </c>
      <c r="C188" s="22" t="s">
        <v>508</v>
      </c>
      <c r="D188" s="22" t="s">
        <v>502</v>
      </c>
      <c r="E188" s="22">
        <v>30701</v>
      </c>
      <c r="F188" s="63" t="s">
        <v>273</v>
      </c>
      <c r="G188" s="34">
        <v>17</v>
      </c>
      <c r="H188" s="64">
        <v>8.65</v>
      </c>
      <c r="I188" s="65">
        <v>0.13</v>
      </c>
      <c r="J188" s="34"/>
      <c r="K188" s="22"/>
    </row>
    <row r="189" spans="2:11" x14ac:dyDescent="0.35">
      <c r="B189" s="22">
        <v>307</v>
      </c>
      <c r="C189" s="22" t="s">
        <v>508</v>
      </c>
      <c r="D189" s="22" t="s">
        <v>502</v>
      </c>
      <c r="E189" s="22">
        <v>30702</v>
      </c>
      <c r="F189" s="63" t="s">
        <v>274</v>
      </c>
      <c r="G189" s="34">
        <v>8</v>
      </c>
      <c r="H189" s="64">
        <v>7.86</v>
      </c>
      <c r="I189" s="65">
        <v>9.0999999999999998E-2</v>
      </c>
      <c r="J189" s="34"/>
      <c r="K189" s="22"/>
    </row>
    <row r="190" spans="2:11" x14ac:dyDescent="0.35">
      <c r="B190" s="22">
        <v>307</v>
      </c>
      <c r="C190" s="22" t="s">
        <v>508</v>
      </c>
      <c r="D190" s="22" t="s">
        <v>502</v>
      </c>
      <c r="E190" s="22">
        <v>30703</v>
      </c>
      <c r="F190" s="63" t="s">
        <v>275</v>
      </c>
      <c r="G190" s="34">
        <v>10</v>
      </c>
      <c r="H190" s="64">
        <v>9.25</v>
      </c>
      <c r="I190" s="65">
        <v>0.223</v>
      </c>
      <c r="J190" s="34"/>
      <c r="K190" s="22"/>
    </row>
    <row r="191" spans="2:11" x14ac:dyDescent="0.35">
      <c r="B191" s="22">
        <v>308</v>
      </c>
      <c r="C191" s="22" t="s">
        <v>509</v>
      </c>
      <c r="D191" s="22" t="s">
        <v>502</v>
      </c>
      <c r="E191" s="22">
        <v>30801</v>
      </c>
      <c r="F191" s="63" t="s">
        <v>276</v>
      </c>
      <c r="G191" s="34">
        <v>7</v>
      </c>
      <c r="H191" s="64">
        <v>7.69</v>
      </c>
      <c r="I191" s="65">
        <v>-7.6999999999999999E-2</v>
      </c>
      <c r="J191" s="34"/>
      <c r="K191" s="22"/>
    </row>
    <row r="192" spans="2:11" x14ac:dyDescent="0.35">
      <c r="B192" s="22">
        <v>308</v>
      </c>
      <c r="C192" s="22" t="s">
        <v>509</v>
      </c>
      <c r="D192" s="22" t="s">
        <v>502</v>
      </c>
      <c r="E192" s="22">
        <v>30803</v>
      </c>
      <c r="F192" s="63" t="s">
        <v>277</v>
      </c>
      <c r="G192" s="34">
        <v>36</v>
      </c>
      <c r="H192" s="64">
        <v>8.82</v>
      </c>
      <c r="I192" s="65">
        <v>8.8000000000000009E-2</v>
      </c>
      <c r="J192" s="34"/>
      <c r="K192" s="22"/>
    </row>
    <row r="193" spans="2:11" x14ac:dyDescent="0.35">
      <c r="B193" s="22">
        <v>308</v>
      </c>
      <c r="C193" s="22" t="s">
        <v>509</v>
      </c>
      <c r="D193" s="22" t="s">
        <v>502</v>
      </c>
      <c r="E193" s="22">
        <v>30804</v>
      </c>
      <c r="F193" s="63" t="s">
        <v>278</v>
      </c>
      <c r="G193" s="34" t="s">
        <v>464</v>
      </c>
      <c r="H193" s="64"/>
      <c r="I193" s="65"/>
      <c r="J193" s="34"/>
      <c r="K193" s="22"/>
    </row>
    <row r="194" spans="2:11" x14ac:dyDescent="0.35">
      <c r="B194" s="22">
        <v>308</v>
      </c>
      <c r="C194" s="22" t="s">
        <v>509</v>
      </c>
      <c r="D194" s="22" t="s">
        <v>502</v>
      </c>
      <c r="E194" s="22">
        <v>30805</v>
      </c>
      <c r="F194" s="63" t="s">
        <v>279</v>
      </c>
      <c r="G194" s="34">
        <v>15</v>
      </c>
      <c r="H194" s="64">
        <v>8.6199999999999992</v>
      </c>
      <c r="I194" s="65">
        <v>0.115</v>
      </c>
      <c r="J194" s="34"/>
      <c r="K194" s="22"/>
    </row>
    <row r="195" spans="2:11" x14ac:dyDescent="0.35">
      <c r="B195" s="22">
        <v>309</v>
      </c>
      <c r="C195" s="22" t="s">
        <v>510</v>
      </c>
      <c r="D195" s="22" t="s">
        <v>502</v>
      </c>
      <c r="E195" s="22">
        <v>30901</v>
      </c>
      <c r="F195" s="63" t="s">
        <v>280</v>
      </c>
      <c r="G195" s="34">
        <v>17</v>
      </c>
      <c r="H195" s="64">
        <v>8.86</v>
      </c>
      <c r="I195" s="65">
        <v>6.5000000000000002E-2</v>
      </c>
      <c r="J195" s="34"/>
      <c r="K195" s="22"/>
    </row>
    <row r="196" spans="2:11" x14ac:dyDescent="0.35">
      <c r="B196" s="22">
        <v>309</v>
      </c>
      <c r="C196" s="22" t="s">
        <v>510</v>
      </c>
      <c r="D196" s="22" t="s">
        <v>502</v>
      </c>
      <c r="E196" s="22">
        <v>30902</v>
      </c>
      <c r="F196" s="63" t="s">
        <v>281</v>
      </c>
      <c r="G196" s="34">
        <v>12</v>
      </c>
      <c r="H196" s="64">
        <v>9.06</v>
      </c>
      <c r="I196" s="65">
        <v>8.8000000000000009E-2</v>
      </c>
      <c r="J196" s="34"/>
      <c r="K196" s="22"/>
    </row>
    <row r="197" spans="2:11" x14ac:dyDescent="0.35">
      <c r="B197" s="22">
        <v>309</v>
      </c>
      <c r="C197" s="22" t="s">
        <v>510</v>
      </c>
      <c r="D197" s="22" t="s">
        <v>502</v>
      </c>
      <c r="E197" s="22">
        <v>30903</v>
      </c>
      <c r="F197" s="63" t="s">
        <v>282</v>
      </c>
      <c r="G197" s="34">
        <v>19</v>
      </c>
      <c r="H197" s="64">
        <v>9.44</v>
      </c>
      <c r="I197" s="65">
        <v>0.109</v>
      </c>
      <c r="J197" s="34">
        <v>1</v>
      </c>
      <c r="K197" s="66">
        <v>5.2631578947368418E-2</v>
      </c>
    </row>
    <row r="198" spans="2:11" x14ac:dyDescent="0.35">
      <c r="B198" s="22">
        <v>309</v>
      </c>
      <c r="C198" s="22" t="s">
        <v>510</v>
      </c>
      <c r="D198" s="22" t="s">
        <v>502</v>
      </c>
      <c r="E198" s="22">
        <v>30904</v>
      </c>
      <c r="F198" s="63" t="s">
        <v>283</v>
      </c>
      <c r="G198" s="34" t="s">
        <v>464</v>
      </c>
      <c r="H198" s="64"/>
      <c r="I198" s="65"/>
      <c r="J198" s="34"/>
      <c r="K198" s="22"/>
    </row>
    <row r="199" spans="2:11" x14ac:dyDescent="0.35">
      <c r="B199" s="22">
        <v>309</v>
      </c>
      <c r="C199" s="22" t="s">
        <v>510</v>
      </c>
      <c r="D199" s="22" t="s">
        <v>502</v>
      </c>
      <c r="E199" s="22">
        <v>30905</v>
      </c>
      <c r="F199" s="63" t="s">
        <v>284</v>
      </c>
      <c r="G199" s="34">
        <v>18</v>
      </c>
      <c r="H199" s="64">
        <v>8.82</v>
      </c>
      <c r="I199" s="65">
        <v>0.113</v>
      </c>
      <c r="J199" s="34"/>
      <c r="K199" s="22"/>
    </row>
    <row r="200" spans="2:11" x14ac:dyDescent="0.35">
      <c r="B200" s="22">
        <v>309</v>
      </c>
      <c r="C200" s="22" t="s">
        <v>510</v>
      </c>
      <c r="D200" s="22" t="s">
        <v>502</v>
      </c>
      <c r="E200" s="22">
        <v>30906</v>
      </c>
      <c r="F200" s="63" t="s">
        <v>285</v>
      </c>
      <c r="G200" s="34">
        <v>30</v>
      </c>
      <c r="H200" s="64">
        <v>8.56</v>
      </c>
      <c r="I200" s="65">
        <v>0.106</v>
      </c>
      <c r="J200" s="34"/>
      <c r="K200" s="22"/>
    </row>
    <row r="201" spans="2:11" x14ac:dyDescent="0.35">
      <c r="B201" s="22">
        <v>309</v>
      </c>
      <c r="C201" s="22" t="s">
        <v>510</v>
      </c>
      <c r="D201" s="22" t="s">
        <v>502</v>
      </c>
      <c r="E201" s="22">
        <v>30907</v>
      </c>
      <c r="F201" s="63" t="s">
        <v>286</v>
      </c>
      <c r="G201" s="34">
        <v>59</v>
      </c>
      <c r="H201" s="64">
        <v>8.75</v>
      </c>
      <c r="I201" s="65">
        <v>0.10800000000000001</v>
      </c>
      <c r="J201" s="34"/>
      <c r="K201" s="22"/>
    </row>
    <row r="202" spans="2:11" x14ac:dyDescent="0.35">
      <c r="B202" s="22">
        <v>309</v>
      </c>
      <c r="C202" s="22" t="s">
        <v>510</v>
      </c>
      <c r="D202" s="22" t="s">
        <v>502</v>
      </c>
      <c r="E202" s="22">
        <v>30908</v>
      </c>
      <c r="F202" s="63" t="s">
        <v>287</v>
      </c>
      <c r="G202" s="34">
        <v>20</v>
      </c>
      <c r="H202" s="64">
        <v>9.49</v>
      </c>
      <c r="I202" s="65">
        <v>0.16399999999999998</v>
      </c>
      <c r="J202" s="34">
        <v>1</v>
      </c>
      <c r="K202" s="66">
        <v>0.05</v>
      </c>
    </row>
    <row r="203" spans="2:11" x14ac:dyDescent="0.35">
      <c r="B203" s="22">
        <v>309</v>
      </c>
      <c r="C203" s="22" t="s">
        <v>510</v>
      </c>
      <c r="D203" s="22" t="s">
        <v>502</v>
      </c>
      <c r="E203" s="22">
        <v>30909</v>
      </c>
      <c r="F203" s="63" t="s">
        <v>288</v>
      </c>
      <c r="G203" s="34">
        <v>31</v>
      </c>
      <c r="H203" s="64">
        <v>8.73</v>
      </c>
      <c r="I203" s="65">
        <v>5.2000000000000005E-2</v>
      </c>
      <c r="J203" s="34"/>
      <c r="K203" s="22"/>
    </row>
    <row r="204" spans="2:11" x14ac:dyDescent="0.35">
      <c r="B204" s="22">
        <v>309</v>
      </c>
      <c r="C204" s="22" t="s">
        <v>510</v>
      </c>
      <c r="D204" s="22" t="s">
        <v>502</v>
      </c>
      <c r="E204" s="22">
        <v>30910</v>
      </c>
      <c r="F204" s="63" t="s">
        <v>289</v>
      </c>
      <c r="G204" s="34">
        <v>9</v>
      </c>
      <c r="H204" s="64">
        <v>9.3800000000000008</v>
      </c>
      <c r="I204" s="65">
        <v>5.2000000000000005E-2</v>
      </c>
      <c r="J204" s="34"/>
      <c r="K204" s="22"/>
    </row>
    <row r="205" spans="2:11" x14ac:dyDescent="0.35">
      <c r="B205" s="22">
        <v>310</v>
      </c>
      <c r="C205" s="22" t="s">
        <v>511</v>
      </c>
      <c r="D205" s="22" t="s">
        <v>502</v>
      </c>
      <c r="E205" s="22">
        <v>31001</v>
      </c>
      <c r="F205" s="63" t="s">
        <v>290</v>
      </c>
      <c r="G205" s="34">
        <v>18</v>
      </c>
      <c r="H205" s="64">
        <v>8.43</v>
      </c>
      <c r="I205" s="65">
        <v>9.5000000000000001E-2</v>
      </c>
      <c r="J205" s="34"/>
      <c r="K205" s="22"/>
    </row>
    <row r="206" spans="2:11" x14ac:dyDescent="0.35">
      <c r="B206" s="22">
        <v>310</v>
      </c>
      <c r="C206" s="22" t="s">
        <v>511</v>
      </c>
      <c r="D206" s="22" t="s">
        <v>502</v>
      </c>
      <c r="E206" s="22">
        <v>31002</v>
      </c>
      <c r="F206" s="63" t="s">
        <v>291</v>
      </c>
      <c r="G206" s="34">
        <v>16</v>
      </c>
      <c r="H206" s="64">
        <v>7.95</v>
      </c>
      <c r="I206" s="65">
        <v>0.154</v>
      </c>
      <c r="J206" s="34"/>
      <c r="K206" s="22"/>
    </row>
    <row r="207" spans="2:11" x14ac:dyDescent="0.35">
      <c r="B207" s="22">
        <v>310</v>
      </c>
      <c r="C207" s="22" t="s">
        <v>511</v>
      </c>
      <c r="D207" s="22" t="s">
        <v>502</v>
      </c>
      <c r="E207" s="22">
        <v>31003</v>
      </c>
      <c r="F207" s="63" t="s">
        <v>292</v>
      </c>
      <c r="G207" s="34">
        <v>40</v>
      </c>
      <c r="H207" s="64">
        <v>8.41</v>
      </c>
      <c r="I207" s="65">
        <v>0.124</v>
      </c>
      <c r="J207" s="34"/>
      <c r="K207" s="22"/>
    </row>
    <row r="208" spans="2:11" x14ac:dyDescent="0.35">
      <c r="B208" s="22">
        <v>310</v>
      </c>
      <c r="C208" s="22" t="s">
        <v>511</v>
      </c>
      <c r="D208" s="22" t="s">
        <v>502</v>
      </c>
      <c r="E208" s="22">
        <v>31004</v>
      </c>
      <c r="F208" s="63" t="s">
        <v>293</v>
      </c>
      <c r="G208" s="34">
        <v>38</v>
      </c>
      <c r="H208" s="64">
        <v>8.82</v>
      </c>
      <c r="I208" s="65">
        <v>0.105</v>
      </c>
      <c r="J208" s="34"/>
      <c r="K208" s="22"/>
    </row>
    <row r="209" spans="2:11" x14ac:dyDescent="0.35">
      <c r="B209" s="22">
        <v>311</v>
      </c>
      <c r="C209" s="22" t="s">
        <v>512</v>
      </c>
      <c r="D209" s="22" t="s">
        <v>502</v>
      </c>
      <c r="E209" s="22">
        <v>31101</v>
      </c>
      <c r="F209" s="63" t="s">
        <v>294</v>
      </c>
      <c r="G209" s="34" t="s">
        <v>464</v>
      </c>
      <c r="H209" s="64"/>
      <c r="I209" s="65"/>
      <c r="J209" s="34"/>
      <c r="K209" s="22"/>
    </row>
    <row r="210" spans="2:11" x14ac:dyDescent="0.35">
      <c r="B210" s="22">
        <v>311</v>
      </c>
      <c r="C210" s="22" t="s">
        <v>512</v>
      </c>
      <c r="D210" s="22" t="s">
        <v>502</v>
      </c>
      <c r="E210" s="22">
        <v>31102</v>
      </c>
      <c r="F210" s="63" t="s">
        <v>295</v>
      </c>
      <c r="G210" s="34">
        <v>14</v>
      </c>
      <c r="H210" s="64">
        <v>8.67</v>
      </c>
      <c r="I210" s="65">
        <v>0.13</v>
      </c>
      <c r="J210" s="34"/>
      <c r="K210" s="22"/>
    </row>
    <row r="211" spans="2:11" x14ac:dyDescent="0.35">
      <c r="B211" s="22">
        <v>311</v>
      </c>
      <c r="C211" s="22" t="s">
        <v>512</v>
      </c>
      <c r="D211" s="22" t="s">
        <v>502</v>
      </c>
      <c r="E211" s="22">
        <v>31103</v>
      </c>
      <c r="F211" s="63" t="s">
        <v>296</v>
      </c>
      <c r="G211" s="34">
        <v>29</v>
      </c>
      <c r="H211" s="64">
        <v>8.4600000000000009</v>
      </c>
      <c r="I211" s="65">
        <v>0.155</v>
      </c>
      <c r="J211" s="34"/>
      <c r="K211" s="22"/>
    </row>
    <row r="212" spans="2:11" x14ac:dyDescent="0.35">
      <c r="B212" s="22">
        <v>311</v>
      </c>
      <c r="C212" s="22" t="s">
        <v>512</v>
      </c>
      <c r="D212" s="22" t="s">
        <v>502</v>
      </c>
      <c r="E212" s="22">
        <v>31104</v>
      </c>
      <c r="F212" s="63" t="s">
        <v>297</v>
      </c>
      <c r="G212" s="34">
        <v>12</v>
      </c>
      <c r="H212" s="64">
        <v>7.92</v>
      </c>
      <c r="I212" s="65">
        <v>8.4000000000000005E-2</v>
      </c>
      <c r="J212" s="34"/>
      <c r="K212" s="22"/>
    </row>
    <row r="213" spans="2:11" x14ac:dyDescent="0.35">
      <c r="B213" s="22">
        <v>311</v>
      </c>
      <c r="C213" s="22" t="s">
        <v>512</v>
      </c>
      <c r="D213" s="22" t="s">
        <v>502</v>
      </c>
      <c r="E213" s="22">
        <v>31105</v>
      </c>
      <c r="F213" s="63" t="s">
        <v>298</v>
      </c>
      <c r="G213" s="34">
        <v>31</v>
      </c>
      <c r="H213" s="64">
        <v>8.27</v>
      </c>
      <c r="I213" s="65">
        <v>9.6000000000000002E-2</v>
      </c>
      <c r="J213" s="34"/>
      <c r="K213" s="22"/>
    </row>
    <row r="214" spans="2:11" x14ac:dyDescent="0.35">
      <c r="B214" s="22">
        <v>311</v>
      </c>
      <c r="C214" s="22" t="s">
        <v>512</v>
      </c>
      <c r="D214" s="22" t="s">
        <v>502</v>
      </c>
      <c r="E214" s="22">
        <v>31106</v>
      </c>
      <c r="F214" s="63" t="s">
        <v>299</v>
      </c>
      <c r="G214" s="34">
        <v>38</v>
      </c>
      <c r="H214" s="64">
        <v>8.08</v>
      </c>
      <c r="I214" s="65">
        <v>0.13</v>
      </c>
      <c r="J214" s="34"/>
      <c r="K214" s="22"/>
    </row>
    <row r="215" spans="2:11" x14ac:dyDescent="0.35">
      <c r="B215" s="22">
        <v>312</v>
      </c>
      <c r="C215" s="22" t="s">
        <v>513</v>
      </c>
      <c r="D215" s="22" t="s">
        <v>502</v>
      </c>
      <c r="E215" s="22">
        <v>31201</v>
      </c>
      <c r="F215" s="63" t="s">
        <v>300</v>
      </c>
      <c r="G215" s="34">
        <v>8</v>
      </c>
      <c r="H215" s="64">
        <v>7.8</v>
      </c>
      <c r="I215" s="65">
        <v>9.0999999999999998E-2</v>
      </c>
      <c r="J215" s="34"/>
      <c r="K215" s="22"/>
    </row>
    <row r="216" spans="2:11" x14ac:dyDescent="0.35">
      <c r="B216" s="22">
        <v>312</v>
      </c>
      <c r="C216" s="22" t="s">
        <v>513</v>
      </c>
      <c r="D216" s="22" t="s">
        <v>502</v>
      </c>
      <c r="E216" s="22">
        <v>31202</v>
      </c>
      <c r="F216" s="63" t="s">
        <v>301</v>
      </c>
      <c r="G216" s="34">
        <v>31</v>
      </c>
      <c r="H216" s="64">
        <v>8.6999999999999993</v>
      </c>
      <c r="I216" s="65">
        <v>9.5000000000000001E-2</v>
      </c>
      <c r="J216" s="34"/>
      <c r="K216" s="22"/>
    </row>
    <row r="217" spans="2:11" x14ac:dyDescent="0.35">
      <c r="B217" s="22">
        <v>312</v>
      </c>
      <c r="C217" s="22" t="s">
        <v>513</v>
      </c>
      <c r="D217" s="22" t="s">
        <v>502</v>
      </c>
      <c r="E217" s="22">
        <v>31203</v>
      </c>
      <c r="F217" s="63" t="s">
        <v>302</v>
      </c>
      <c r="G217" s="34">
        <v>7</v>
      </c>
      <c r="H217" s="64">
        <v>8.33</v>
      </c>
      <c r="I217" s="65">
        <v>7.6999999999999999E-2</v>
      </c>
      <c r="J217" s="34"/>
      <c r="K217" s="22"/>
    </row>
    <row r="218" spans="2:11" x14ac:dyDescent="0.35">
      <c r="B218" s="22">
        <v>313</v>
      </c>
      <c r="C218" s="22" t="s">
        <v>514</v>
      </c>
      <c r="D218" s="22" t="s">
        <v>502</v>
      </c>
      <c r="E218" s="22">
        <v>31301</v>
      </c>
      <c r="F218" s="63" t="s">
        <v>303</v>
      </c>
      <c r="G218" s="34">
        <v>7</v>
      </c>
      <c r="H218" s="64">
        <v>8.99</v>
      </c>
      <c r="I218" s="65">
        <v>0.151</v>
      </c>
      <c r="J218" s="34"/>
      <c r="K218" s="22"/>
    </row>
    <row r="219" spans="2:11" x14ac:dyDescent="0.35">
      <c r="B219" s="22">
        <v>313</v>
      </c>
      <c r="C219" s="22" t="s">
        <v>514</v>
      </c>
      <c r="D219" s="22" t="s">
        <v>502</v>
      </c>
      <c r="E219" s="22">
        <v>31302</v>
      </c>
      <c r="F219" s="63" t="s">
        <v>304</v>
      </c>
      <c r="G219" s="34">
        <v>26</v>
      </c>
      <c r="H219" s="64">
        <v>8.4</v>
      </c>
      <c r="I219" s="65">
        <v>0.127</v>
      </c>
      <c r="J219" s="34"/>
      <c r="K219" s="22"/>
    </row>
    <row r="220" spans="2:11" x14ac:dyDescent="0.35">
      <c r="B220" s="22">
        <v>313</v>
      </c>
      <c r="C220" s="22" t="s">
        <v>514</v>
      </c>
      <c r="D220" s="22" t="s">
        <v>502</v>
      </c>
      <c r="E220" s="22">
        <v>31303</v>
      </c>
      <c r="F220" s="63" t="s">
        <v>305</v>
      </c>
      <c r="G220" s="34" t="s">
        <v>464</v>
      </c>
      <c r="H220" s="64"/>
      <c r="I220" s="65"/>
      <c r="J220" s="34"/>
      <c r="K220" s="22"/>
    </row>
    <row r="221" spans="2:11" x14ac:dyDescent="0.35">
      <c r="B221" s="22">
        <v>313</v>
      </c>
      <c r="C221" s="22" t="s">
        <v>514</v>
      </c>
      <c r="D221" s="22" t="s">
        <v>502</v>
      </c>
      <c r="E221" s="22">
        <v>31304</v>
      </c>
      <c r="F221" s="63" t="s">
        <v>306</v>
      </c>
      <c r="G221" s="34">
        <v>20</v>
      </c>
      <c r="H221" s="64">
        <v>8.48</v>
      </c>
      <c r="I221" s="65">
        <v>0.113</v>
      </c>
      <c r="J221" s="34"/>
      <c r="K221" s="22"/>
    </row>
    <row r="222" spans="2:11" x14ac:dyDescent="0.35">
      <c r="B222" s="22">
        <v>313</v>
      </c>
      <c r="C222" s="22" t="s">
        <v>514</v>
      </c>
      <c r="D222" s="22" t="s">
        <v>502</v>
      </c>
      <c r="E222" s="22">
        <v>31305</v>
      </c>
      <c r="F222" s="63" t="s">
        <v>307</v>
      </c>
      <c r="G222" s="34">
        <v>17</v>
      </c>
      <c r="H222" s="64">
        <v>8.5</v>
      </c>
      <c r="I222" s="65">
        <v>0.11199999999999999</v>
      </c>
      <c r="J222" s="34"/>
      <c r="K222" s="22"/>
    </row>
    <row r="223" spans="2:11" x14ac:dyDescent="0.35">
      <c r="B223" s="22">
        <v>314</v>
      </c>
      <c r="C223" s="22" t="s">
        <v>515</v>
      </c>
      <c r="D223" s="22" t="s">
        <v>502</v>
      </c>
      <c r="E223" s="22">
        <v>31401</v>
      </c>
      <c r="F223" s="63" t="s">
        <v>308</v>
      </c>
      <c r="G223" s="34">
        <v>29</v>
      </c>
      <c r="H223" s="64">
        <v>8.5500000000000007</v>
      </c>
      <c r="I223" s="65">
        <v>6.3E-2</v>
      </c>
      <c r="J223" s="34"/>
      <c r="K223" s="22"/>
    </row>
    <row r="224" spans="2:11" x14ac:dyDescent="0.35">
      <c r="B224" s="22">
        <v>314</v>
      </c>
      <c r="C224" s="22" t="s">
        <v>515</v>
      </c>
      <c r="D224" s="22" t="s">
        <v>502</v>
      </c>
      <c r="E224" s="22">
        <v>31402</v>
      </c>
      <c r="F224" s="63" t="s">
        <v>309</v>
      </c>
      <c r="G224" s="34">
        <v>29</v>
      </c>
      <c r="H224" s="64">
        <v>8.94</v>
      </c>
      <c r="I224" s="65">
        <v>0.11</v>
      </c>
      <c r="J224" s="34"/>
      <c r="K224" s="22"/>
    </row>
    <row r="225" spans="2:11" x14ac:dyDescent="0.35">
      <c r="B225" s="22">
        <v>314</v>
      </c>
      <c r="C225" s="22" t="s">
        <v>515</v>
      </c>
      <c r="D225" s="22" t="s">
        <v>502</v>
      </c>
      <c r="E225" s="22">
        <v>31403</v>
      </c>
      <c r="F225" s="63" t="s">
        <v>310</v>
      </c>
      <c r="G225" s="34">
        <v>16</v>
      </c>
      <c r="H225" s="64">
        <v>8.7200000000000006</v>
      </c>
      <c r="I225" s="65">
        <v>9.9000000000000005E-2</v>
      </c>
      <c r="J225" s="34">
        <v>1</v>
      </c>
      <c r="K225" s="66">
        <v>6.25E-2</v>
      </c>
    </row>
    <row r="226" spans="2:11" x14ac:dyDescent="0.35">
      <c r="B226" s="22">
        <v>315</v>
      </c>
      <c r="C226" s="22" t="s">
        <v>516</v>
      </c>
      <c r="D226" s="22" t="s">
        <v>502</v>
      </c>
      <c r="E226" s="22">
        <v>31501</v>
      </c>
      <c r="F226" s="63" t="s">
        <v>311</v>
      </c>
      <c r="G226" s="34">
        <v>15</v>
      </c>
      <c r="H226" s="64">
        <v>5.04</v>
      </c>
      <c r="I226" s="65">
        <v>-0.314</v>
      </c>
      <c r="J226" s="34"/>
      <c r="K226" s="22"/>
    </row>
    <row r="227" spans="2:11" x14ac:dyDescent="0.35">
      <c r="B227" s="22">
        <v>315</v>
      </c>
      <c r="C227" s="22" t="s">
        <v>516</v>
      </c>
      <c r="D227" s="22" t="s">
        <v>502</v>
      </c>
      <c r="E227" s="22">
        <v>31502</v>
      </c>
      <c r="F227" s="63" t="s">
        <v>312</v>
      </c>
      <c r="G227" s="34">
        <v>12</v>
      </c>
      <c r="H227" s="64">
        <v>7.44</v>
      </c>
      <c r="I227" s="65">
        <v>1.7000000000000001E-2</v>
      </c>
      <c r="J227" s="34"/>
      <c r="K227" s="22"/>
    </row>
    <row r="228" spans="2:11" x14ac:dyDescent="0.35">
      <c r="B228" s="22">
        <v>315</v>
      </c>
      <c r="C228" s="22" t="s">
        <v>516</v>
      </c>
      <c r="D228" s="22" t="s">
        <v>502</v>
      </c>
      <c r="E228" s="22">
        <v>31503</v>
      </c>
      <c r="F228" s="63" t="s">
        <v>313</v>
      </c>
      <c r="G228" s="34">
        <v>9</v>
      </c>
      <c r="H228" s="64">
        <v>7.68</v>
      </c>
      <c r="I228" s="65">
        <v>4.2999999999999997E-2</v>
      </c>
      <c r="J228" s="34"/>
      <c r="K228" s="22"/>
    </row>
    <row r="229" spans="2:11" x14ac:dyDescent="0.35">
      <c r="B229" s="22">
        <v>316</v>
      </c>
      <c r="C229" s="22" t="s">
        <v>517</v>
      </c>
      <c r="D229" s="22" t="s">
        <v>502</v>
      </c>
      <c r="E229" s="22">
        <v>31601</v>
      </c>
      <c r="F229" s="63" t="s">
        <v>314</v>
      </c>
      <c r="G229" s="34">
        <v>18</v>
      </c>
      <c r="H229" s="64">
        <v>9.14</v>
      </c>
      <c r="I229" s="65">
        <v>3.1E-2</v>
      </c>
      <c r="J229" s="34"/>
      <c r="K229" s="22"/>
    </row>
    <row r="230" spans="2:11" x14ac:dyDescent="0.35">
      <c r="B230" s="22">
        <v>316</v>
      </c>
      <c r="C230" s="22" t="s">
        <v>517</v>
      </c>
      <c r="D230" s="22" t="s">
        <v>502</v>
      </c>
      <c r="E230" s="22">
        <v>31602</v>
      </c>
      <c r="F230" s="63" t="s">
        <v>315</v>
      </c>
      <c r="G230" s="34">
        <v>26</v>
      </c>
      <c r="H230" s="64">
        <v>8.99</v>
      </c>
      <c r="I230" s="65">
        <v>8.5999999999999993E-2</v>
      </c>
      <c r="J230" s="34"/>
      <c r="K230" s="22"/>
    </row>
    <row r="231" spans="2:11" x14ac:dyDescent="0.35">
      <c r="B231" s="22">
        <v>316</v>
      </c>
      <c r="C231" s="22" t="s">
        <v>517</v>
      </c>
      <c r="D231" s="22" t="s">
        <v>502</v>
      </c>
      <c r="E231" s="22">
        <v>31603</v>
      </c>
      <c r="F231" s="63" t="s">
        <v>316</v>
      </c>
      <c r="G231" s="34">
        <v>16</v>
      </c>
      <c r="H231" s="64">
        <v>8.91</v>
      </c>
      <c r="I231" s="65">
        <v>0.115</v>
      </c>
      <c r="J231" s="34"/>
      <c r="K231" s="22"/>
    </row>
    <row r="232" spans="2:11" x14ac:dyDescent="0.35">
      <c r="B232" s="22">
        <v>316</v>
      </c>
      <c r="C232" s="22" t="s">
        <v>517</v>
      </c>
      <c r="D232" s="22" t="s">
        <v>502</v>
      </c>
      <c r="E232" s="22">
        <v>31605</v>
      </c>
      <c r="F232" s="63" t="s">
        <v>317</v>
      </c>
      <c r="G232" s="34">
        <v>14</v>
      </c>
      <c r="H232" s="64">
        <v>9.0299999999999994</v>
      </c>
      <c r="I232" s="65">
        <v>6.6000000000000003E-2</v>
      </c>
      <c r="J232" s="34"/>
      <c r="K232" s="22"/>
    </row>
    <row r="233" spans="2:11" x14ac:dyDescent="0.35">
      <c r="B233" s="22">
        <v>316</v>
      </c>
      <c r="C233" s="22" t="s">
        <v>517</v>
      </c>
      <c r="D233" s="22" t="s">
        <v>502</v>
      </c>
      <c r="E233" s="22">
        <v>31606</v>
      </c>
      <c r="F233" s="63" t="s">
        <v>318</v>
      </c>
      <c r="G233" s="34">
        <v>9</v>
      </c>
      <c r="H233" s="64">
        <v>8.4700000000000006</v>
      </c>
      <c r="I233" s="65">
        <v>0.14499999999999999</v>
      </c>
      <c r="J233" s="34"/>
      <c r="K233" s="22"/>
    </row>
    <row r="234" spans="2:11" x14ac:dyDescent="0.35">
      <c r="B234" s="22">
        <v>316</v>
      </c>
      <c r="C234" s="22" t="s">
        <v>517</v>
      </c>
      <c r="D234" s="22" t="s">
        <v>502</v>
      </c>
      <c r="E234" s="22">
        <v>31607</v>
      </c>
      <c r="F234" s="63" t="s">
        <v>319</v>
      </c>
      <c r="G234" s="34">
        <v>18</v>
      </c>
      <c r="H234" s="64">
        <v>8.57</v>
      </c>
      <c r="I234" s="65">
        <v>0.12</v>
      </c>
      <c r="J234" s="34"/>
      <c r="K234" s="22"/>
    </row>
    <row r="235" spans="2:11" x14ac:dyDescent="0.35">
      <c r="B235" s="22">
        <v>316</v>
      </c>
      <c r="C235" s="22" t="s">
        <v>517</v>
      </c>
      <c r="D235" s="22" t="s">
        <v>502</v>
      </c>
      <c r="E235" s="22">
        <v>31608</v>
      </c>
      <c r="F235" s="63" t="s">
        <v>320</v>
      </c>
      <c r="G235" s="34">
        <v>5</v>
      </c>
      <c r="H235" s="64">
        <v>8.27</v>
      </c>
      <c r="I235" s="65">
        <v>6.5000000000000002E-2</v>
      </c>
      <c r="J235" s="34"/>
      <c r="K235" s="22"/>
    </row>
    <row r="236" spans="2:11" x14ac:dyDescent="0.35">
      <c r="B236" s="22">
        <v>317</v>
      </c>
      <c r="C236" s="22" t="s">
        <v>321</v>
      </c>
      <c r="D236" s="22" t="s">
        <v>502</v>
      </c>
      <c r="E236" s="22">
        <v>31701</v>
      </c>
      <c r="F236" s="63" t="s">
        <v>321</v>
      </c>
      <c r="G236" s="34">
        <v>55</v>
      </c>
      <c r="H236" s="64">
        <v>8.77</v>
      </c>
      <c r="I236" s="65">
        <v>8.3000000000000004E-2</v>
      </c>
      <c r="J236" s="34">
        <v>1</v>
      </c>
      <c r="K236" s="66">
        <v>1.8181818181818181E-2</v>
      </c>
    </row>
    <row r="237" spans="2:11" x14ac:dyDescent="0.35">
      <c r="B237" s="22">
        <v>318</v>
      </c>
      <c r="C237" s="22" t="s">
        <v>323</v>
      </c>
      <c r="D237" s="22" t="s">
        <v>502</v>
      </c>
      <c r="E237" s="22">
        <v>31801</v>
      </c>
      <c r="F237" s="63" t="s">
        <v>322</v>
      </c>
      <c r="G237" s="34">
        <v>11</v>
      </c>
      <c r="H237" s="64">
        <v>6.93</v>
      </c>
      <c r="I237" s="65">
        <v>-4.9000000000000002E-2</v>
      </c>
      <c r="J237" s="34"/>
      <c r="K237" s="22"/>
    </row>
    <row r="238" spans="2:11" x14ac:dyDescent="0.35">
      <c r="B238" s="22">
        <v>318</v>
      </c>
      <c r="C238" s="22" t="s">
        <v>323</v>
      </c>
      <c r="D238" s="22" t="s">
        <v>502</v>
      </c>
      <c r="E238" s="22">
        <v>31802</v>
      </c>
      <c r="F238" s="63" t="s">
        <v>323</v>
      </c>
      <c r="G238" s="34">
        <v>80</v>
      </c>
      <c r="H238" s="64">
        <v>8.61</v>
      </c>
      <c r="I238" s="65">
        <v>6.9000000000000006E-2</v>
      </c>
      <c r="J238" s="34"/>
      <c r="K238" s="22"/>
    </row>
    <row r="239" spans="2:11" x14ac:dyDescent="0.35">
      <c r="B239" s="22">
        <v>319</v>
      </c>
      <c r="C239" s="22" t="s">
        <v>518</v>
      </c>
      <c r="D239" s="22" t="s">
        <v>502</v>
      </c>
      <c r="E239" s="22">
        <v>31901</v>
      </c>
      <c r="F239" s="63" t="s">
        <v>324</v>
      </c>
      <c r="G239" s="34">
        <v>27</v>
      </c>
      <c r="H239" s="64">
        <v>8.44</v>
      </c>
      <c r="I239" s="65">
        <v>8.4000000000000005E-2</v>
      </c>
      <c r="J239" s="34"/>
      <c r="K239" s="22"/>
    </row>
    <row r="240" spans="2:11" x14ac:dyDescent="0.35">
      <c r="B240" s="22">
        <v>319</v>
      </c>
      <c r="C240" s="22" t="s">
        <v>518</v>
      </c>
      <c r="D240" s="22" t="s">
        <v>502</v>
      </c>
      <c r="E240" s="22">
        <v>31902</v>
      </c>
      <c r="F240" s="63" t="s">
        <v>325</v>
      </c>
      <c r="G240" s="34">
        <v>16</v>
      </c>
      <c r="H240" s="64">
        <v>7.95</v>
      </c>
      <c r="I240" s="65">
        <v>0.17300000000000001</v>
      </c>
      <c r="J240" s="34"/>
      <c r="K240" s="22"/>
    </row>
    <row r="241" spans="2:11" x14ac:dyDescent="0.35">
      <c r="B241" s="22">
        <v>319</v>
      </c>
      <c r="C241" s="22" t="s">
        <v>518</v>
      </c>
      <c r="D241" s="22" t="s">
        <v>502</v>
      </c>
      <c r="E241" s="22">
        <v>31903</v>
      </c>
      <c r="F241" s="63" t="s">
        <v>326</v>
      </c>
      <c r="G241" s="34">
        <v>15</v>
      </c>
      <c r="H241" s="64">
        <v>8.2100000000000009</v>
      </c>
      <c r="I241" s="65">
        <v>0.187</v>
      </c>
      <c r="J241" s="34"/>
      <c r="K241" s="22"/>
    </row>
    <row r="242" spans="2:11" x14ac:dyDescent="0.35">
      <c r="B242" s="22">
        <v>319</v>
      </c>
      <c r="C242" s="22" t="s">
        <v>518</v>
      </c>
      <c r="D242" s="22" t="s">
        <v>502</v>
      </c>
      <c r="E242" s="22">
        <v>31904</v>
      </c>
      <c r="F242" s="63" t="s">
        <v>327</v>
      </c>
      <c r="G242" s="34">
        <v>17</v>
      </c>
      <c r="H242" s="64">
        <v>8.36</v>
      </c>
      <c r="I242" s="65">
        <v>0.10400000000000001</v>
      </c>
      <c r="J242" s="34"/>
      <c r="K242" s="22"/>
    </row>
    <row r="243" spans="2:11" x14ac:dyDescent="0.35">
      <c r="B243" s="22">
        <v>319</v>
      </c>
      <c r="C243" s="22" t="s">
        <v>518</v>
      </c>
      <c r="D243" s="22" t="s">
        <v>502</v>
      </c>
      <c r="E243" s="22">
        <v>31905</v>
      </c>
      <c r="F243" s="63" t="s">
        <v>328</v>
      </c>
      <c r="G243" s="34">
        <v>9</v>
      </c>
      <c r="H243" s="64">
        <v>7.91</v>
      </c>
      <c r="I243" s="65">
        <v>0.13500000000000001</v>
      </c>
      <c r="J243" s="34"/>
      <c r="K243" s="22"/>
    </row>
    <row r="244" spans="2:11" x14ac:dyDescent="0.35">
      <c r="B244" s="22">
        <v>401</v>
      </c>
      <c r="C244" s="22" t="s">
        <v>519</v>
      </c>
      <c r="D244" s="22" t="s">
        <v>520</v>
      </c>
      <c r="E244" s="22">
        <v>40101</v>
      </c>
      <c r="F244" s="63" t="s">
        <v>329</v>
      </c>
      <c r="G244" s="34">
        <v>12</v>
      </c>
      <c r="H244" s="64">
        <v>10.02</v>
      </c>
      <c r="I244" s="65">
        <v>2.3E-2</v>
      </c>
      <c r="J244" s="34"/>
      <c r="K244" s="22"/>
    </row>
    <row r="245" spans="2:11" x14ac:dyDescent="0.35">
      <c r="B245" s="22">
        <v>401</v>
      </c>
      <c r="C245" s="22" t="s">
        <v>519</v>
      </c>
      <c r="D245" s="22" t="s">
        <v>520</v>
      </c>
      <c r="E245" s="22">
        <v>40102</v>
      </c>
      <c r="F245" s="63" t="s">
        <v>330</v>
      </c>
      <c r="G245" s="34">
        <v>16</v>
      </c>
      <c r="H245" s="64">
        <v>9.6999999999999993</v>
      </c>
      <c r="I245" s="65">
        <v>6.4000000000000001E-2</v>
      </c>
      <c r="J245" s="34">
        <v>1</v>
      </c>
      <c r="K245" s="66">
        <v>6.25E-2</v>
      </c>
    </row>
    <row r="246" spans="2:11" x14ac:dyDescent="0.35">
      <c r="B246" s="22">
        <v>401</v>
      </c>
      <c r="C246" s="22" t="s">
        <v>519</v>
      </c>
      <c r="D246" s="22" t="s">
        <v>520</v>
      </c>
      <c r="E246" s="22">
        <v>40103</v>
      </c>
      <c r="F246" s="63" t="s">
        <v>331</v>
      </c>
      <c r="G246" s="34">
        <v>12</v>
      </c>
      <c r="H246" s="64">
        <v>10.32</v>
      </c>
      <c r="I246" s="65">
        <v>-1E-3</v>
      </c>
      <c r="J246" s="34">
        <v>1</v>
      </c>
      <c r="K246" s="66">
        <v>8.3333333333333329E-2</v>
      </c>
    </row>
    <row r="247" spans="2:11" x14ac:dyDescent="0.35">
      <c r="B247" s="22">
        <v>401</v>
      </c>
      <c r="C247" s="22" t="s">
        <v>519</v>
      </c>
      <c r="D247" s="22" t="s">
        <v>520</v>
      </c>
      <c r="E247" s="22">
        <v>40104</v>
      </c>
      <c r="F247" s="63" t="s">
        <v>332</v>
      </c>
      <c r="G247" s="34">
        <v>9</v>
      </c>
      <c r="H247" s="64">
        <v>9.9</v>
      </c>
      <c r="I247" s="65">
        <v>5.4000000000000006E-2</v>
      </c>
      <c r="J247" s="34"/>
      <c r="K247" s="22"/>
    </row>
    <row r="248" spans="2:11" x14ac:dyDescent="0.35">
      <c r="B248" s="22">
        <v>401</v>
      </c>
      <c r="C248" s="22" t="s">
        <v>519</v>
      </c>
      <c r="D248" s="22" t="s">
        <v>520</v>
      </c>
      <c r="E248" s="22">
        <v>40105</v>
      </c>
      <c r="F248" s="63" t="s">
        <v>333</v>
      </c>
      <c r="G248" s="34">
        <v>16</v>
      </c>
      <c r="H248" s="64">
        <v>10.71</v>
      </c>
      <c r="I248" s="65">
        <v>1.8000000000000002E-2</v>
      </c>
      <c r="J248" s="34">
        <v>4</v>
      </c>
      <c r="K248" s="66">
        <v>0.25</v>
      </c>
    </row>
    <row r="249" spans="2:11" x14ac:dyDescent="0.35">
      <c r="B249" s="22">
        <v>401</v>
      </c>
      <c r="C249" s="22" t="s">
        <v>519</v>
      </c>
      <c r="D249" s="22" t="s">
        <v>520</v>
      </c>
      <c r="E249" s="22">
        <v>40106</v>
      </c>
      <c r="F249" s="63" t="s">
        <v>334</v>
      </c>
      <c r="G249" s="34">
        <v>9</v>
      </c>
      <c r="H249" s="64">
        <v>11.07</v>
      </c>
      <c r="I249" s="65">
        <v>5.2999999999999999E-2</v>
      </c>
      <c r="J249" s="34">
        <v>1</v>
      </c>
      <c r="K249" s="66">
        <v>0.1111111111111111</v>
      </c>
    </row>
    <row r="250" spans="2:11" x14ac:dyDescent="0.35">
      <c r="B250" s="22">
        <v>401</v>
      </c>
      <c r="C250" s="22" t="s">
        <v>519</v>
      </c>
      <c r="D250" s="22" t="s">
        <v>520</v>
      </c>
      <c r="E250" s="22">
        <v>40107</v>
      </c>
      <c r="F250" s="63" t="s">
        <v>335</v>
      </c>
      <c r="G250" s="34">
        <v>14</v>
      </c>
      <c r="H250" s="64">
        <v>10.85</v>
      </c>
      <c r="I250" s="65">
        <v>1.6E-2</v>
      </c>
      <c r="J250" s="34">
        <v>3</v>
      </c>
      <c r="K250" s="66">
        <v>0.21428571428571427</v>
      </c>
    </row>
    <row r="251" spans="2:11" x14ac:dyDescent="0.35">
      <c r="B251" s="22">
        <v>402</v>
      </c>
      <c r="C251" s="22" t="s">
        <v>521</v>
      </c>
      <c r="D251" s="22" t="s">
        <v>520</v>
      </c>
      <c r="E251" s="22">
        <v>40201</v>
      </c>
      <c r="F251" s="63" t="s">
        <v>336</v>
      </c>
      <c r="G251" s="34">
        <v>9</v>
      </c>
      <c r="H251" s="64">
        <v>9.7799999999999994</v>
      </c>
      <c r="I251" s="65">
        <v>0.11699999999999999</v>
      </c>
      <c r="J251" s="34">
        <v>1</v>
      </c>
      <c r="K251" s="66">
        <v>0.1111111111111111</v>
      </c>
    </row>
    <row r="252" spans="2:11" x14ac:dyDescent="0.35">
      <c r="B252" s="22">
        <v>402</v>
      </c>
      <c r="C252" s="22" t="s">
        <v>521</v>
      </c>
      <c r="D252" s="22" t="s">
        <v>520</v>
      </c>
      <c r="E252" s="22">
        <v>40202</v>
      </c>
      <c r="F252" s="63" t="s">
        <v>337</v>
      </c>
      <c r="G252" s="34">
        <v>21</v>
      </c>
      <c r="H252" s="64">
        <v>9.26</v>
      </c>
      <c r="I252" s="65">
        <v>0.128</v>
      </c>
      <c r="J252" s="34"/>
      <c r="K252" s="22"/>
    </row>
    <row r="253" spans="2:11" x14ac:dyDescent="0.35">
      <c r="B253" s="22">
        <v>402</v>
      </c>
      <c r="C253" s="22" t="s">
        <v>521</v>
      </c>
      <c r="D253" s="22" t="s">
        <v>520</v>
      </c>
      <c r="E253" s="22">
        <v>40203</v>
      </c>
      <c r="F253" s="63" t="s">
        <v>338</v>
      </c>
      <c r="G253" s="34">
        <v>15</v>
      </c>
      <c r="H253" s="64">
        <v>9.81</v>
      </c>
      <c r="I253" s="65">
        <v>9.8000000000000004E-2</v>
      </c>
      <c r="J253" s="34"/>
      <c r="K253" s="22"/>
    </row>
    <row r="254" spans="2:11" x14ac:dyDescent="0.35">
      <c r="B254" s="22">
        <v>402</v>
      </c>
      <c r="C254" s="22" t="s">
        <v>521</v>
      </c>
      <c r="D254" s="22" t="s">
        <v>520</v>
      </c>
      <c r="E254" s="22">
        <v>40204</v>
      </c>
      <c r="F254" s="63" t="s">
        <v>339</v>
      </c>
      <c r="G254" s="34">
        <v>29</v>
      </c>
      <c r="H254" s="64">
        <v>8.9700000000000006</v>
      </c>
      <c r="I254" s="65">
        <v>5.2999999999999999E-2</v>
      </c>
      <c r="J254" s="34"/>
      <c r="K254" s="22"/>
    </row>
    <row r="255" spans="2:11" x14ac:dyDescent="0.35">
      <c r="B255" s="22">
        <v>402</v>
      </c>
      <c r="C255" s="22" t="s">
        <v>521</v>
      </c>
      <c r="D255" s="22" t="s">
        <v>520</v>
      </c>
      <c r="E255" s="22">
        <v>40205</v>
      </c>
      <c r="F255" s="63" t="s">
        <v>340</v>
      </c>
      <c r="G255" s="34">
        <v>21</v>
      </c>
      <c r="H255" s="64">
        <v>9.41</v>
      </c>
      <c r="I255" s="65">
        <v>5.7000000000000002E-2</v>
      </c>
      <c r="J255" s="34"/>
      <c r="K255" s="22"/>
    </row>
    <row r="256" spans="2:11" x14ac:dyDescent="0.35">
      <c r="B256" s="22">
        <v>403</v>
      </c>
      <c r="C256" s="22" t="s">
        <v>522</v>
      </c>
      <c r="D256" s="22" t="s">
        <v>520</v>
      </c>
      <c r="E256" s="22">
        <v>40301</v>
      </c>
      <c r="F256" s="63" t="s">
        <v>341</v>
      </c>
      <c r="G256" s="34">
        <v>10</v>
      </c>
      <c r="H256" s="64">
        <v>9.74</v>
      </c>
      <c r="I256" s="65">
        <v>-0.107</v>
      </c>
      <c r="J256" s="34">
        <v>1</v>
      </c>
      <c r="K256" s="66">
        <v>0.1</v>
      </c>
    </row>
    <row r="257" spans="2:11" x14ac:dyDescent="0.35">
      <c r="B257" s="22">
        <v>403</v>
      </c>
      <c r="C257" s="22" t="s">
        <v>522</v>
      </c>
      <c r="D257" s="22" t="s">
        <v>520</v>
      </c>
      <c r="E257" s="22">
        <v>40302</v>
      </c>
      <c r="F257" s="63" t="s">
        <v>342</v>
      </c>
      <c r="G257" s="34">
        <v>19</v>
      </c>
      <c r="H257" s="64">
        <v>9.9</v>
      </c>
      <c r="I257" s="65">
        <v>7.6999999999999999E-2</v>
      </c>
      <c r="J257" s="34">
        <v>1</v>
      </c>
      <c r="K257" s="66">
        <v>5.2631578947368418E-2</v>
      </c>
    </row>
    <row r="258" spans="2:11" x14ac:dyDescent="0.35">
      <c r="B258" s="22">
        <v>403</v>
      </c>
      <c r="C258" s="22" t="s">
        <v>522</v>
      </c>
      <c r="D258" s="22" t="s">
        <v>520</v>
      </c>
      <c r="E258" s="22">
        <v>40303</v>
      </c>
      <c r="F258" s="63" t="s">
        <v>343</v>
      </c>
      <c r="G258" s="34">
        <v>17</v>
      </c>
      <c r="H258" s="64">
        <v>10.57</v>
      </c>
      <c r="I258" s="65">
        <v>5.2999999999999999E-2</v>
      </c>
      <c r="J258" s="34">
        <v>1</v>
      </c>
      <c r="K258" s="66">
        <v>5.8823529411764705E-2</v>
      </c>
    </row>
    <row r="259" spans="2:11" x14ac:dyDescent="0.35">
      <c r="B259" s="22">
        <v>403</v>
      </c>
      <c r="C259" s="22" t="s">
        <v>522</v>
      </c>
      <c r="D259" s="22" t="s">
        <v>520</v>
      </c>
      <c r="E259" s="22">
        <v>40304</v>
      </c>
      <c r="F259" s="63" t="s">
        <v>344</v>
      </c>
      <c r="G259" s="34">
        <v>44</v>
      </c>
      <c r="H259" s="64">
        <v>9.15</v>
      </c>
      <c r="I259" s="65">
        <v>7.2000000000000008E-2</v>
      </c>
      <c r="J259" s="34"/>
      <c r="K259" s="22"/>
    </row>
    <row r="260" spans="2:11" x14ac:dyDescent="0.35">
      <c r="B260" s="22">
        <v>404</v>
      </c>
      <c r="C260" s="22" t="s">
        <v>523</v>
      </c>
      <c r="D260" s="22" t="s">
        <v>520</v>
      </c>
      <c r="E260" s="22">
        <v>40401</v>
      </c>
      <c r="F260" s="63" t="s">
        <v>345</v>
      </c>
      <c r="G260" s="34">
        <v>22</v>
      </c>
      <c r="H260" s="64">
        <v>9.98</v>
      </c>
      <c r="I260" s="65">
        <v>7.0999999999999994E-2</v>
      </c>
      <c r="J260" s="34">
        <v>1</v>
      </c>
      <c r="K260" s="66">
        <v>4.5454545454545456E-2</v>
      </c>
    </row>
    <row r="261" spans="2:11" x14ac:dyDescent="0.35">
      <c r="B261" s="22">
        <v>404</v>
      </c>
      <c r="C261" s="22" t="s">
        <v>523</v>
      </c>
      <c r="D261" s="22" t="s">
        <v>520</v>
      </c>
      <c r="E261" s="22">
        <v>40402</v>
      </c>
      <c r="F261" s="63" t="s">
        <v>346</v>
      </c>
      <c r="G261" s="34">
        <v>12</v>
      </c>
      <c r="H261" s="64">
        <v>9.18</v>
      </c>
      <c r="I261" s="65">
        <v>7.0999999999999994E-2</v>
      </c>
      <c r="J261" s="34"/>
      <c r="K261" s="22"/>
    </row>
    <row r="262" spans="2:11" x14ac:dyDescent="0.35">
      <c r="B262" s="22">
        <v>404</v>
      </c>
      <c r="C262" s="22" t="s">
        <v>523</v>
      </c>
      <c r="D262" s="22" t="s">
        <v>520</v>
      </c>
      <c r="E262" s="22">
        <v>40403</v>
      </c>
      <c r="F262" s="63" t="s">
        <v>347</v>
      </c>
      <c r="G262" s="34">
        <v>18</v>
      </c>
      <c r="H262" s="64">
        <v>10.16</v>
      </c>
      <c r="I262" s="65">
        <v>6.6000000000000003E-2</v>
      </c>
      <c r="J262" s="34">
        <v>1</v>
      </c>
      <c r="K262" s="66">
        <v>5.5555555555555552E-2</v>
      </c>
    </row>
    <row r="263" spans="2:11" x14ac:dyDescent="0.35">
      <c r="B263" s="22">
        <v>405</v>
      </c>
      <c r="C263" s="22" t="s">
        <v>524</v>
      </c>
      <c r="D263" s="22" t="s">
        <v>520</v>
      </c>
      <c r="E263" s="22">
        <v>40501</v>
      </c>
      <c r="F263" s="63" t="s">
        <v>348</v>
      </c>
      <c r="G263" s="34">
        <v>9</v>
      </c>
      <c r="H263" s="64">
        <v>9.9700000000000006</v>
      </c>
      <c r="I263" s="65">
        <v>9.0999999999999998E-2</v>
      </c>
      <c r="J263" s="34"/>
      <c r="K263" s="22"/>
    </row>
    <row r="264" spans="2:11" x14ac:dyDescent="0.35">
      <c r="B264" s="22">
        <v>405</v>
      </c>
      <c r="C264" s="22" t="s">
        <v>524</v>
      </c>
      <c r="D264" s="22" t="s">
        <v>520</v>
      </c>
      <c r="E264" s="22">
        <v>40502</v>
      </c>
      <c r="F264" s="63" t="s">
        <v>349</v>
      </c>
      <c r="G264" s="34">
        <v>6</v>
      </c>
      <c r="H264" s="64">
        <v>8.06</v>
      </c>
      <c r="I264" s="65">
        <v>-1.3999999999999999E-2</v>
      </c>
      <c r="J264" s="34"/>
      <c r="K264" s="22"/>
    </row>
    <row r="265" spans="2:11" x14ac:dyDescent="0.35">
      <c r="B265" s="22">
        <v>405</v>
      </c>
      <c r="C265" s="22" t="s">
        <v>524</v>
      </c>
      <c r="D265" s="22" t="s">
        <v>520</v>
      </c>
      <c r="E265" s="22">
        <v>40503</v>
      </c>
      <c r="F265" s="63" t="s">
        <v>350</v>
      </c>
      <c r="G265" s="34">
        <v>7</v>
      </c>
      <c r="H265" s="64">
        <v>7.96</v>
      </c>
      <c r="I265" s="65">
        <v>4.8000000000000001E-2</v>
      </c>
      <c r="J265" s="34"/>
      <c r="K265" s="22"/>
    </row>
    <row r="266" spans="2:11" x14ac:dyDescent="0.35">
      <c r="B266" s="22">
        <v>405</v>
      </c>
      <c r="C266" s="22" t="s">
        <v>524</v>
      </c>
      <c r="D266" s="22" t="s">
        <v>520</v>
      </c>
      <c r="E266" s="22">
        <v>40504</v>
      </c>
      <c r="F266" s="63" t="s">
        <v>351</v>
      </c>
      <c r="G266" s="34">
        <v>5</v>
      </c>
      <c r="H266" s="64">
        <v>8.6999999999999993</v>
      </c>
      <c r="I266" s="65">
        <v>1.2E-2</v>
      </c>
      <c r="J266" s="34"/>
      <c r="K266" s="22"/>
    </row>
    <row r="267" spans="2:11" x14ac:dyDescent="0.35">
      <c r="B267" s="22">
        <v>406</v>
      </c>
      <c r="C267" s="22" t="s">
        <v>525</v>
      </c>
      <c r="D267" s="22" t="s">
        <v>520</v>
      </c>
      <c r="E267" s="22">
        <v>40601</v>
      </c>
      <c r="F267" s="63" t="s">
        <v>352</v>
      </c>
      <c r="G267" s="34">
        <v>16</v>
      </c>
      <c r="H267" s="64">
        <v>8.61</v>
      </c>
      <c r="I267" s="65">
        <v>4.5999999999999999E-2</v>
      </c>
      <c r="J267" s="34"/>
      <c r="K267" s="22"/>
    </row>
    <row r="268" spans="2:11" x14ac:dyDescent="0.35">
      <c r="B268" s="22">
        <v>406</v>
      </c>
      <c r="C268" s="22" t="s">
        <v>525</v>
      </c>
      <c r="D268" s="22" t="s">
        <v>520</v>
      </c>
      <c r="E268" s="22">
        <v>40602</v>
      </c>
      <c r="F268" s="63" t="s">
        <v>353</v>
      </c>
      <c r="G268" s="34">
        <v>7</v>
      </c>
      <c r="H268" s="64">
        <v>9.11</v>
      </c>
      <c r="I268" s="65">
        <v>2.7999999999999997E-2</v>
      </c>
      <c r="J268" s="34"/>
      <c r="K268" s="22"/>
    </row>
    <row r="269" spans="2:11" x14ac:dyDescent="0.35">
      <c r="B269" s="22">
        <v>407</v>
      </c>
      <c r="C269" s="22" t="s">
        <v>526</v>
      </c>
      <c r="D269" s="22" t="s">
        <v>520</v>
      </c>
      <c r="E269" s="22">
        <v>40701</v>
      </c>
      <c r="F269" s="63" t="s">
        <v>354</v>
      </c>
      <c r="G269" s="34">
        <v>11</v>
      </c>
      <c r="H269" s="64">
        <v>8.65</v>
      </c>
      <c r="I269" s="65">
        <v>-2.3E-2</v>
      </c>
      <c r="J269" s="34"/>
      <c r="K269" s="22"/>
    </row>
    <row r="270" spans="2:11" x14ac:dyDescent="0.35">
      <c r="B270" s="22">
        <v>407</v>
      </c>
      <c r="C270" s="22" t="s">
        <v>526</v>
      </c>
      <c r="D270" s="22" t="s">
        <v>520</v>
      </c>
      <c r="E270" s="22">
        <v>40702</v>
      </c>
      <c r="F270" s="63" t="s">
        <v>355</v>
      </c>
      <c r="G270" s="34">
        <v>15</v>
      </c>
      <c r="H270" s="64">
        <v>8.9600000000000009</v>
      </c>
      <c r="I270" s="65">
        <v>0.08</v>
      </c>
      <c r="J270" s="34">
        <v>1</v>
      </c>
      <c r="K270" s="66">
        <v>6.6666666666666666E-2</v>
      </c>
    </row>
    <row r="271" spans="2:11" x14ac:dyDescent="0.35">
      <c r="B271" s="22">
        <v>407</v>
      </c>
      <c r="C271" s="22" t="s">
        <v>526</v>
      </c>
      <c r="D271" s="22" t="s">
        <v>520</v>
      </c>
      <c r="E271" s="22">
        <v>40703</v>
      </c>
      <c r="F271" s="63" t="s">
        <v>356</v>
      </c>
      <c r="G271" s="34">
        <v>14</v>
      </c>
      <c r="H271" s="64">
        <v>8.65</v>
      </c>
      <c r="I271" s="65">
        <v>3.5000000000000003E-2</v>
      </c>
      <c r="J271" s="34"/>
      <c r="K271" s="22"/>
    </row>
    <row r="272" spans="2:11" x14ac:dyDescent="0.35">
      <c r="B272" s="22">
        <v>501</v>
      </c>
      <c r="C272" s="22" t="s">
        <v>358</v>
      </c>
      <c r="D272" s="22" t="s">
        <v>527</v>
      </c>
      <c r="E272" s="22">
        <v>50101</v>
      </c>
      <c r="F272" s="63" t="s">
        <v>357</v>
      </c>
      <c r="G272" s="34">
        <v>13</v>
      </c>
      <c r="H272" s="64">
        <v>10.71</v>
      </c>
      <c r="I272" s="65">
        <v>0.13200000000000001</v>
      </c>
      <c r="J272" s="34">
        <v>1</v>
      </c>
      <c r="K272" s="66">
        <v>7.6923076923076927E-2</v>
      </c>
    </row>
    <row r="273" spans="2:11" x14ac:dyDescent="0.35">
      <c r="B273" s="22">
        <v>501</v>
      </c>
      <c r="C273" s="22" t="s">
        <v>358</v>
      </c>
      <c r="D273" s="22" t="s">
        <v>527</v>
      </c>
      <c r="E273" s="22">
        <v>50102</v>
      </c>
      <c r="F273" s="63" t="s">
        <v>358</v>
      </c>
      <c r="G273" s="34">
        <v>23</v>
      </c>
      <c r="H273" s="64">
        <v>9.5399999999999991</v>
      </c>
      <c r="I273" s="65">
        <v>6.2E-2</v>
      </c>
      <c r="J273" s="34"/>
      <c r="K273" s="22"/>
    </row>
    <row r="274" spans="2:11" x14ac:dyDescent="0.35">
      <c r="B274" s="22">
        <v>501</v>
      </c>
      <c r="C274" s="22" t="s">
        <v>358</v>
      </c>
      <c r="D274" s="22" t="s">
        <v>527</v>
      </c>
      <c r="E274" s="22">
        <v>50103</v>
      </c>
      <c r="F274" s="63" t="s">
        <v>359</v>
      </c>
      <c r="G274" s="34">
        <v>9</v>
      </c>
      <c r="H274" s="64">
        <v>9.6999999999999993</v>
      </c>
      <c r="I274" s="65">
        <v>7.0999999999999994E-2</v>
      </c>
      <c r="J274" s="34">
        <v>2</v>
      </c>
      <c r="K274" s="66">
        <v>0.22222222222222221</v>
      </c>
    </row>
    <row r="275" spans="2:11" x14ac:dyDescent="0.35">
      <c r="B275" s="22">
        <v>502</v>
      </c>
      <c r="C275" s="22" t="s">
        <v>360</v>
      </c>
      <c r="D275" s="22" t="s">
        <v>527</v>
      </c>
      <c r="E275" s="22">
        <v>50201</v>
      </c>
      <c r="F275" s="63" t="s">
        <v>360</v>
      </c>
      <c r="G275" s="34">
        <v>28</v>
      </c>
      <c r="H275" s="64">
        <v>8.35</v>
      </c>
      <c r="I275" s="65">
        <v>4.2000000000000003E-2</v>
      </c>
      <c r="J275" s="34"/>
      <c r="K275" s="22"/>
    </row>
    <row r="276" spans="2:11" x14ac:dyDescent="0.35">
      <c r="B276" s="22">
        <v>503</v>
      </c>
      <c r="C276" s="22" t="s">
        <v>528</v>
      </c>
      <c r="D276" s="22" t="s">
        <v>527</v>
      </c>
      <c r="E276" s="22">
        <v>50301</v>
      </c>
      <c r="F276" s="63" t="s">
        <v>361</v>
      </c>
      <c r="G276" s="34">
        <v>21</v>
      </c>
      <c r="H276" s="64">
        <v>11.86</v>
      </c>
      <c r="I276" s="65">
        <v>0</v>
      </c>
      <c r="J276" s="34">
        <v>14</v>
      </c>
      <c r="K276" s="66">
        <v>0.66666666666666663</v>
      </c>
    </row>
    <row r="277" spans="2:11" x14ac:dyDescent="0.35">
      <c r="B277" s="22">
        <v>503</v>
      </c>
      <c r="C277" s="22" t="s">
        <v>528</v>
      </c>
      <c r="D277" s="22" t="s">
        <v>527</v>
      </c>
      <c r="E277" s="22">
        <v>50302</v>
      </c>
      <c r="F277" s="63" t="s">
        <v>362</v>
      </c>
      <c r="G277" s="34">
        <v>38</v>
      </c>
      <c r="H277" s="64">
        <v>11.88</v>
      </c>
      <c r="I277" s="65">
        <v>6.9999999999999993E-3</v>
      </c>
      <c r="J277" s="34">
        <v>16</v>
      </c>
      <c r="K277" s="66">
        <v>0.42105263157894735</v>
      </c>
    </row>
    <row r="278" spans="2:11" x14ac:dyDescent="0.35">
      <c r="B278" s="22">
        <v>504</v>
      </c>
      <c r="C278" s="22" t="s">
        <v>529</v>
      </c>
      <c r="D278" s="22" t="s">
        <v>527</v>
      </c>
      <c r="E278" s="22">
        <v>50401</v>
      </c>
      <c r="F278" s="63" t="s">
        <v>363</v>
      </c>
      <c r="G278" s="34">
        <v>22</v>
      </c>
      <c r="H278" s="64">
        <v>9.67</v>
      </c>
      <c r="I278" s="65">
        <v>-1E-3</v>
      </c>
      <c r="J278" s="34">
        <v>1</v>
      </c>
      <c r="K278" s="66">
        <v>4.5454545454545456E-2</v>
      </c>
    </row>
    <row r="279" spans="2:11" x14ac:dyDescent="0.35">
      <c r="B279" s="22">
        <v>504</v>
      </c>
      <c r="C279" s="22" t="s">
        <v>529</v>
      </c>
      <c r="D279" s="22" t="s">
        <v>527</v>
      </c>
      <c r="E279" s="22">
        <v>50402</v>
      </c>
      <c r="F279" s="63" t="s">
        <v>364</v>
      </c>
      <c r="G279" s="34">
        <v>9</v>
      </c>
      <c r="H279" s="64">
        <v>9.51</v>
      </c>
      <c r="I279" s="65">
        <v>4.8000000000000001E-2</v>
      </c>
      <c r="J279" s="34">
        <v>1</v>
      </c>
      <c r="K279" s="66">
        <v>0.1111111111111111</v>
      </c>
    </row>
    <row r="280" spans="2:11" x14ac:dyDescent="0.35">
      <c r="B280" s="22">
        <v>504</v>
      </c>
      <c r="C280" s="22" t="s">
        <v>529</v>
      </c>
      <c r="D280" s="22" t="s">
        <v>527</v>
      </c>
      <c r="E280" s="22">
        <v>50403</v>
      </c>
      <c r="F280" s="63" t="s">
        <v>365</v>
      </c>
      <c r="G280" s="34">
        <v>33</v>
      </c>
      <c r="H280" s="64">
        <v>9.15</v>
      </c>
      <c r="I280" s="65">
        <v>3.7999999999999999E-2</v>
      </c>
      <c r="J280" s="34">
        <v>1</v>
      </c>
      <c r="K280" s="66">
        <v>3.0303030303030304E-2</v>
      </c>
    </row>
    <row r="281" spans="2:11" x14ac:dyDescent="0.35">
      <c r="B281" s="22">
        <v>505</v>
      </c>
      <c r="C281" s="22" t="s">
        <v>530</v>
      </c>
      <c r="D281" s="22" t="s">
        <v>527</v>
      </c>
      <c r="E281" s="22">
        <v>50501</v>
      </c>
      <c r="F281" s="63" t="s">
        <v>366</v>
      </c>
      <c r="G281" s="34">
        <v>38</v>
      </c>
      <c r="H281" s="64">
        <v>10</v>
      </c>
      <c r="I281" s="65">
        <v>3.3000000000000002E-2</v>
      </c>
      <c r="J281" s="34"/>
      <c r="K281" s="22"/>
    </row>
    <row r="282" spans="2:11" x14ac:dyDescent="0.35">
      <c r="B282" s="22">
        <v>505</v>
      </c>
      <c r="C282" s="22" t="s">
        <v>530</v>
      </c>
      <c r="D282" s="22" t="s">
        <v>527</v>
      </c>
      <c r="E282" s="22">
        <v>50502</v>
      </c>
      <c r="F282" s="63" t="s">
        <v>367</v>
      </c>
      <c r="G282" s="34">
        <v>44</v>
      </c>
      <c r="H282" s="64">
        <v>10.82</v>
      </c>
      <c r="I282" s="65">
        <v>0.02</v>
      </c>
      <c r="J282" s="34">
        <v>8</v>
      </c>
      <c r="K282" s="66">
        <v>0.18181818181818182</v>
      </c>
    </row>
    <row r="283" spans="2:11" x14ac:dyDescent="0.35">
      <c r="B283" s="22">
        <v>505</v>
      </c>
      <c r="C283" s="22" t="s">
        <v>530</v>
      </c>
      <c r="D283" s="22" t="s">
        <v>527</v>
      </c>
      <c r="E283" s="22">
        <v>50503</v>
      </c>
      <c r="F283" s="63" t="s">
        <v>368</v>
      </c>
      <c r="G283" s="34">
        <v>55</v>
      </c>
      <c r="H283" s="64">
        <v>9.4600000000000009</v>
      </c>
      <c r="I283" s="65">
        <v>5.5E-2</v>
      </c>
      <c r="J283" s="34"/>
      <c r="K283" s="22"/>
    </row>
    <row r="284" spans="2:11" x14ac:dyDescent="0.35">
      <c r="B284" s="22">
        <v>506</v>
      </c>
      <c r="C284" s="22" t="s">
        <v>531</v>
      </c>
      <c r="D284" s="22" t="s">
        <v>527</v>
      </c>
      <c r="E284" s="22">
        <v>50601</v>
      </c>
      <c r="F284" s="63" t="s">
        <v>369</v>
      </c>
      <c r="G284" s="34">
        <v>19</v>
      </c>
      <c r="H284" s="64">
        <v>8.9499999999999993</v>
      </c>
      <c r="I284" s="65">
        <v>4.8000000000000001E-2</v>
      </c>
      <c r="J284" s="34"/>
      <c r="K284" s="22"/>
    </row>
    <row r="285" spans="2:11" x14ac:dyDescent="0.35">
      <c r="B285" s="22">
        <v>506</v>
      </c>
      <c r="C285" s="22" t="s">
        <v>531</v>
      </c>
      <c r="D285" s="22" t="s">
        <v>527</v>
      </c>
      <c r="E285" s="22">
        <v>50602</v>
      </c>
      <c r="F285" s="63" t="s">
        <v>370</v>
      </c>
      <c r="G285" s="34">
        <v>15</v>
      </c>
      <c r="H285" s="64">
        <v>9.93</v>
      </c>
      <c r="I285" s="65">
        <v>2.5000000000000001E-2</v>
      </c>
      <c r="J285" s="34"/>
      <c r="K285" s="22"/>
    </row>
    <row r="286" spans="2:11" x14ac:dyDescent="0.35">
      <c r="B286" s="22">
        <v>506</v>
      </c>
      <c r="C286" s="22" t="s">
        <v>531</v>
      </c>
      <c r="D286" s="22" t="s">
        <v>527</v>
      </c>
      <c r="E286" s="22">
        <v>50603</v>
      </c>
      <c r="F286" s="63" t="s">
        <v>371</v>
      </c>
      <c r="G286" s="34">
        <v>22</v>
      </c>
      <c r="H286" s="64">
        <v>9.82</v>
      </c>
      <c r="I286" s="65">
        <v>4.8000000000000001E-2</v>
      </c>
      <c r="J286" s="34">
        <v>1</v>
      </c>
      <c r="K286" s="66">
        <v>4.5454545454545456E-2</v>
      </c>
    </row>
    <row r="287" spans="2:11" x14ac:dyDescent="0.35">
      <c r="B287" s="22">
        <v>506</v>
      </c>
      <c r="C287" s="22" t="s">
        <v>531</v>
      </c>
      <c r="D287" s="22" t="s">
        <v>527</v>
      </c>
      <c r="E287" s="22">
        <v>50604</v>
      </c>
      <c r="F287" s="63" t="s">
        <v>372</v>
      </c>
      <c r="G287" s="34">
        <v>33</v>
      </c>
      <c r="H287" s="64">
        <v>9.64</v>
      </c>
      <c r="I287" s="65">
        <v>8.5999999999999993E-2</v>
      </c>
      <c r="J287" s="34">
        <v>2</v>
      </c>
      <c r="K287" s="66">
        <v>6.0606060606060608E-2</v>
      </c>
    </row>
    <row r="288" spans="2:11" x14ac:dyDescent="0.35">
      <c r="B288" s="22">
        <v>506</v>
      </c>
      <c r="C288" s="22" t="s">
        <v>531</v>
      </c>
      <c r="D288" s="22" t="s">
        <v>527</v>
      </c>
      <c r="E288" s="22">
        <v>50605</v>
      </c>
      <c r="F288" s="63" t="s">
        <v>373</v>
      </c>
      <c r="G288" s="34">
        <v>13</v>
      </c>
      <c r="H288" s="64">
        <v>9.58</v>
      </c>
      <c r="I288" s="65">
        <v>8.199999999999999E-2</v>
      </c>
      <c r="J288" s="34"/>
      <c r="K288" s="22"/>
    </row>
    <row r="289" spans="2:11" x14ac:dyDescent="0.35">
      <c r="B289" s="22">
        <v>506</v>
      </c>
      <c r="C289" s="22" t="s">
        <v>531</v>
      </c>
      <c r="D289" s="22" t="s">
        <v>527</v>
      </c>
      <c r="E289" s="22">
        <v>50606</v>
      </c>
      <c r="F289" s="63" t="s">
        <v>374</v>
      </c>
      <c r="G289" s="34">
        <v>7</v>
      </c>
      <c r="H289" s="64">
        <v>9.09</v>
      </c>
      <c r="I289" s="65">
        <v>1.7000000000000001E-2</v>
      </c>
      <c r="J289" s="34"/>
      <c r="K289" s="22"/>
    </row>
    <row r="290" spans="2:11" x14ac:dyDescent="0.35">
      <c r="B290" s="22">
        <v>506</v>
      </c>
      <c r="C290" s="22" t="s">
        <v>531</v>
      </c>
      <c r="D290" s="22" t="s">
        <v>527</v>
      </c>
      <c r="E290" s="22">
        <v>50607</v>
      </c>
      <c r="F290" s="63" t="s">
        <v>375</v>
      </c>
      <c r="G290" s="34">
        <v>13</v>
      </c>
      <c r="H290" s="64">
        <v>11.08</v>
      </c>
      <c r="I290" s="65">
        <v>0.02</v>
      </c>
      <c r="J290" s="34">
        <v>4</v>
      </c>
      <c r="K290" s="66">
        <v>0.30769230769230771</v>
      </c>
    </row>
    <row r="291" spans="2:11" x14ac:dyDescent="0.35">
      <c r="B291" s="22">
        <v>507</v>
      </c>
      <c r="C291" s="22" t="s">
        <v>532</v>
      </c>
      <c r="D291" s="22" t="s">
        <v>527</v>
      </c>
      <c r="E291" s="22">
        <v>50701</v>
      </c>
      <c r="F291" s="63" t="s">
        <v>376</v>
      </c>
      <c r="G291" s="34">
        <v>28</v>
      </c>
      <c r="H291" s="64">
        <v>10.050000000000001</v>
      </c>
      <c r="I291" s="65">
        <v>2.1000000000000001E-2</v>
      </c>
      <c r="J291" s="34">
        <v>1</v>
      </c>
      <c r="K291" s="66">
        <v>3.5714285714285712E-2</v>
      </c>
    </row>
    <row r="292" spans="2:11" x14ac:dyDescent="0.35">
      <c r="B292" s="22">
        <v>507</v>
      </c>
      <c r="C292" s="22" t="s">
        <v>532</v>
      </c>
      <c r="D292" s="22" t="s">
        <v>527</v>
      </c>
      <c r="E292" s="22">
        <v>50702</v>
      </c>
      <c r="F292" s="63" t="s">
        <v>377</v>
      </c>
      <c r="G292" s="34">
        <v>15</v>
      </c>
      <c r="H292" s="64">
        <v>10.47</v>
      </c>
      <c r="I292" s="65">
        <v>5.5E-2</v>
      </c>
      <c r="J292" s="34">
        <v>1</v>
      </c>
      <c r="K292" s="66">
        <v>6.6666666666666666E-2</v>
      </c>
    </row>
    <row r="293" spans="2:11" x14ac:dyDescent="0.35">
      <c r="B293" s="22">
        <v>507</v>
      </c>
      <c r="C293" s="22" t="s">
        <v>532</v>
      </c>
      <c r="D293" s="22" t="s">
        <v>527</v>
      </c>
      <c r="E293" s="22">
        <v>50703</v>
      </c>
      <c r="F293" s="63" t="s">
        <v>378</v>
      </c>
      <c r="G293" s="34">
        <v>10</v>
      </c>
      <c r="H293" s="64">
        <v>9.65</v>
      </c>
      <c r="I293" s="65">
        <v>9.8000000000000004E-2</v>
      </c>
      <c r="J293" s="34">
        <v>1</v>
      </c>
      <c r="K293" s="66">
        <v>0.1</v>
      </c>
    </row>
    <row r="294" spans="2:11" x14ac:dyDescent="0.35">
      <c r="B294" s="22">
        <v>507</v>
      </c>
      <c r="C294" s="22" t="s">
        <v>532</v>
      </c>
      <c r="D294" s="22" t="s">
        <v>527</v>
      </c>
      <c r="E294" s="22">
        <v>50704</v>
      </c>
      <c r="F294" s="63" t="s">
        <v>379</v>
      </c>
      <c r="G294" s="34">
        <v>26</v>
      </c>
      <c r="H294" s="64">
        <v>11.23</v>
      </c>
      <c r="I294" s="65">
        <v>4.2000000000000003E-2</v>
      </c>
      <c r="J294" s="34">
        <v>10</v>
      </c>
      <c r="K294" s="66">
        <v>0.38461538461538464</v>
      </c>
    </row>
    <row r="295" spans="2:11" x14ac:dyDescent="0.35">
      <c r="B295" s="22">
        <v>507</v>
      </c>
      <c r="C295" s="22" t="s">
        <v>532</v>
      </c>
      <c r="D295" s="22" t="s">
        <v>527</v>
      </c>
      <c r="E295" s="22">
        <v>50705</v>
      </c>
      <c r="F295" s="63" t="s">
        <v>380</v>
      </c>
      <c r="G295" s="34">
        <v>30</v>
      </c>
      <c r="H295" s="64">
        <v>8.83</v>
      </c>
      <c r="I295" s="65">
        <v>4.4000000000000004E-2</v>
      </c>
      <c r="J295" s="34"/>
      <c r="K295" s="22"/>
    </row>
    <row r="296" spans="2:11" x14ac:dyDescent="0.35">
      <c r="B296" s="22">
        <v>509</v>
      </c>
      <c r="C296" s="22" t="s">
        <v>533</v>
      </c>
      <c r="D296" s="22" t="s">
        <v>527</v>
      </c>
      <c r="E296" s="22">
        <v>50901</v>
      </c>
      <c r="F296" s="63" t="s">
        <v>381</v>
      </c>
      <c r="G296" s="34">
        <v>14</v>
      </c>
      <c r="H296" s="64">
        <v>9.15</v>
      </c>
      <c r="I296" s="65">
        <v>5.9000000000000004E-2</v>
      </c>
      <c r="J296" s="34">
        <v>1</v>
      </c>
      <c r="K296" s="66">
        <v>7.1428571428571425E-2</v>
      </c>
    </row>
    <row r="297" spans="2:11" x14ac:dyDescent="0.35">
      <c r="B297" s="22">
        <v>509</v>
      </c>
      <c r="C297" s="22" t="s">
        <v>533</v>
      </c>
      <c r="D297" s="22" t="s">
        <v>527</v>
      </c>
      <c r="E297" s="22">
        <v>50902</v>
      </c>
      <c r="F297" s="63" t="s">
        <v>382</v>
      </c>
      <c r="G297" s="34">
        <v>15</v>
      </c>
      <c r="H297" s="64">
        <v>9.41</v>
      </c>
      <c r="I297" s="65">
        <v>8.8000000000000009E-2</v>
      </c>
      <c r="J297" s="34"/>
      <c r="K297" s="22"/>
    </row>
    <row r="298" spans="2:11" x14ac:dyDescent="0.35">
      <c r="B298" s="22">
        <v>509</v>
      </c>
      <c r="C298" s="22" t="s">
        <v>533</v>
      </c>
      <c r="D298" s="22" t="s">
        <v>527</v>
      </c>
      <c r="E298" s="22">
        <v>50903</v>
      </c>
      <c r="F298" s="63" t="s">
        <v>383</v>
      </c>
      <c r="G298" s="34">
        <v>11</v>
      </c>
      <c r="H298" s="64">
        <v>9.8699999999999992</v>
      </c>
      <c r="I298" s="65">
        <v>7.2999999999999995E-2</v>
      </c>
      <c r="J298" s="34">
        <v>1</v>
      </c>
      <c r="K298" s="66">
        <v>9.0909090909090912E-2</v>
      </c>
    </row>
    <row r="299" spans="2:11" x14ac:dyDescent="0.35">
      <c r="B299" s="22">
        <v>510</v>
      </c>
      <c r="C299" s="22" t="s">
        <v>534</v>
      </c>
      <c r="D299" s="22" t="s">
        <v>527</v>
      </c>
      <c r="E299" s="22">
        <v>51001</v>
      </c>
      <c r="F299" s="63" t="s">
        <v>384</v>
      </c>
      <c r="G299" s="34">
        <v>11</v>
      </c>
      <c r="H299" s="64">
        <v>11.01</v>
      </c>
      <c r="I299" s="65">
        <v>-2.8999999999999998E-2</v>
      </c>
      <c r="J299" s="34">
        <v>3</v>
      </c>
      <c r="K299" s="66">
        <v>0.27272727272727271</v>
      </c>
    </row>
    <row r="300" spans="2:11" x14ac:dyDescent="0.35">
      <c r="B300" s="22">
        <v>510</v>
      </c>
      <c r="C300" s="22" t="s">
        <v>534</v>
      </c>
      <c r="D300" s="22" t="s">
        <v>527</v>
      </c>
      <c r="E300" s="22">
        <v>51002</v>
      </c>
      <c r="F300" s="63" t="s">
        <v>385</v>
      </c>
      <c r="G300" s="34">
        <v>6</v>
      </c>
      <c r="H300" s="64">
        <v>11.22</v>
      </c>
      <c r="I300" s="65">
        <v>-1.8000000000000002E-2</v>
      </c>
      <c r="J300" s="34">
        <v>3</v>
      </c>
      <c r="K300" s="66">
        <v>0.5</v>
      </c>
    </row>
    <row r="301" spans="2:11" x14ac:dyDescent="0.35">
      <c r="B301" s="22">
        <v>510</v>
      </c>
      <c r="C301" s="22" t="s">
        <v>534</v>
      </c>
      <c r="D301" s="22" t="s">
        <v>527</v>
      </c>
      <c r="E301" s="22">
        <v>51003</v>
      </c>
      <c r="F301" s="63" t="s">
        <v>386</v>
      </c>
      <c r="G301" s="34">
        <v>13</v>
      </c>
      <c r="H301" s="64">
        <v>11.16</v>
      </c>
      <c r="I301" s="65">
        <v>-2.4E-2</v>
      </c>
      <c r="J301" s="34">
        <v>3</v>
      </c>
      <c r="K301" s="66">
        <v>0.23076923076923078</v>
      </c>
    </row>
    <row r="302" spans="2:11" x14ac:dyDescent="0.35">
      <c r="B302" s="22">
        <v>511</v>
      </c>
      <c r="C302" s="22" t="s">
        <v>535</v>
      </c>
      <c r="D302" s="22" t="s">
        <v>527</v>
      </c>
      <c r="E302" s="22">
        <v>51101</v>
      </c>
      <c r="F302" s="63" t="s">
        <v>387</v>
      </c>
      <c r="G302" s="34" t="s">
        <v>464</v>
      </c>
      <c r="H302" s="64"/>
      <c r="I302" s="65"/>
      <c r="J302" s="34"/>
      <c r="K302" s="22"/>
    </row>
    <row r="303" spans="2:11" x14ac:dyDescent="0.35">
      <c r="B303" s="22">
        <v>511</v>
      </c>
      <c r="C303" s="22" t="s">
        <v>535</v>
      </c>
      <c r="D303" s="22" t="s">
        <v>527</v>
      </c>
      <c r="E303" s="22">
        <v>51102</v>
      </c>
      <c r="F303" s="63" t="s">
        <v>388</v>
      </c>
      <c r="G303" s="34" t="s">
        <v>464</v>
      </c>
      <c r="H303" s="64"/>
      <c r="I303" s="65"/>
      <c r="J303" s="34"/>
      <c r="K303" s="22"/>
    </row>
    <row r="304" spans="2:11" x14ac:dyDescent="0.35">
      <c r="B304" s="22">
        <v>511</v>
      </c>
      <c r="C304" s="22" t="s">
        <v>535</v>
      </c>
      <c r="D304" s="22" t="s">
        <v>527</v>
      </c>
      <c r="E304" s="22">
        <v>51103</v>
      </c>
      <c r="F304" s="63" t="s">
        <v>389</v>
      </c>
      <c r="G304" s="34">
        <v>9</v>
      </c>
      <c r="H304" s="64">
        <v>9.98</v>
      </c>
      <c r="I304" s="65">
        <v>8.0000000000000002E-3</v>
      </c>
      <c r="J304" s="34">
        <v>2</v>
      </c>
      <c r="K304" s="66">
        <v>0.22222222222222221</v>
      </c>
    </row>
    <row r="305" spans="2:11" x14ac:dyDescent="0.35">
      <c r="B305" s="22">
        <v>511</v>
      </c>
      <c r="C305" s="22" t="s">
        <v>535</v>
      </c>
      <c r="D305" s="22" t="s">
        <v>527</v>
      </c>
      <c r="E305" s="22">
        <v>51104</v>
      </c>
      <c r="F305" s="63" t="s">
        <v>390</v>
      </c>
      <c r="G305" s="34">
        <v>14</v>
      </c>
      <c r="H305" s="64">
        <v>9.81</v>
      </c>
      <c r="I305" s="65">
        <v>3.1E-2</v>
      </c>
      <c r="J305" s="34"/>
      <c r="K305" s="22"/>
    </row>
    <row r="306" spans="2:11" x14ac:dyDescent="0.35">
      <c r="B306" s="22">
        <v>601</v>
      </c>
      <c r="C306" s="22" t="s">
        <v>536</v>
      </c>
      <c r="D306" s="22" t="s">
        <v>537</v>
      </c>
      <c r="E306" s="22">
        <v>60101</v>
      </c>
      <c r="F306" s="63" t="s">
        <v>391</v>
      </c>
      <c r="G306" s="34" t="s">
        <v>464</v>
      </c>
      <c r="H306" s="64"/>
      <c r="I306" s="65"/>
      <c r="J306" s="34"/>
      <c r="K306" s="22"/>
    </row>
    <row r="307" spans="2:11" x14ac:dyDescent="0.35">
      <c r="B307" s="22">
        <v>601</v>
      </c>
      <c r="C307" s="22" t="s">
        <v>536</v>
      </c>
      <c r="D307" s="22" t="s">
        <v>537</v>
      </c>
      <c r="E307" s="22">
        <v>60102</v>
      </c>
      <c r="F307" s="63" t="s">
        <v>392</v>
      </c>
      <c r="G307" s="34">
        <v>13</v>
      </c>
      <c r="H307" s="64">
        <v>9.24</v>
      </c>
      <c r="I307" s="65">
        <v>6.7000000000000004E-2</v>
      </c>
      <c r="J307" s="34"/>
      <c r="K307" s="22"/>
    </row>
    <row r="308" spans="2:11" x14ac:dyDescent="0.35">
      <c r="B308" s="22">
        <v>601</v>
      </c>
      <c r="C308" s="22" t="s">
        <v>536</v>
      </c>
      <c r="D308" s="22" t="s">
        <v>537</v>
      </c>
      <c r="E308" s="22">
        <v>60103</v>
      </c>
      <c r="F308" s="63" t="s">
        <v>393</v>
      </c>
      <c r="G308" s="34">
        <v>9</v>
      </c>
      <c r="H308" s="64">
        <v>9.39</v>
      </c>
      <c r="I308" s="65">
        <v>9.4E-2</v>
      </c>
      <c r="J308" s="34"/>
      <c r="K308" s="22"/>
    </row>
    <row r="309" spans="2:11" x14ac:dyDescent="0.35">
      <c r="B309" s="22">
        <v>601</v>
      </c>
      <c r="C309" s="22" t="s">
        <v>536</v>
      </c>
      <c r="D309" s="22" t="s">
        <v>537</v>
      </c>
      <c r="E309" s="22">
        <v>60104</v>
      </c>
      <c r="F309" s="63" t="s">
        <v>394</v>
      </c>
      <c r="G309" s="34">
        <v>7</v>
      </c>
      <c r="H309" s="64">
        <v>8.2799999999999994</v>
      </c>
      <c r="I309" s="65">
        <v>3.7000000000000005E-2</v>
      </c>
      <c r="J309" s="34"/>
      <c r="K309" s="22"/>
    </row>
    <row r="310" spans="2:11" x14ac:dyDescent="0.35">
      <c r="B310" s="22">
        <v>601</v>
      </c>
      <c r="C310" s="22" t="s">
        <v>536</v>
      </c>
      <c r="D310" s="22" t="s">
        <v>537</v>
      </c>
      <c r="E310" s="22">
        <v>60105</v>
      </c>
      <c r="F310" s="63" t="s">
        <v>395</v>
      </c>
      <c r="G310" s="34">
        <v>27</v>
      </c>
      <c r="H310" s="64">
        <v>9.19</v>
      </c>
      <c r="I310" s="65">
        <v>4.2999999999999997E-2</v>
      </c>
      <c r="J310" s="34"/>
      <c r="K310" s="22"/>
    </row>
    <row r="311" spans="2:11" x14ac:dyDescent="0.35">
      <c r="B311" s="22">
        <v>601</v>
      </c>
      <c r="C311" s="22" t="s">
        <v>536</v>
      </c>
      <c r="D311" s="22" t="s">
        <v>537</v>
      </c>
      <c r="E311" s="22">
        <v>60106</v>
      </c>
      <c r="F311" s="63" t="s">
        <v>396</v>
      </c>
      <c r="G311" s="34" t="s">
        <v>464</v>
      </c>
      <c r="H311" s="64"/>
      <c r="I311" s="65"/>
      <c r="J311" s="34"/>
      <c r="K311" s="22"/>
    </row>
    <row r="312" spans="2:11" x14ac:dyDescent="0.35">
      <c r="B312" s="22">
        <v>602</v>
      </c>
      <c r="C312" s="22" t="s">
        <v>538</v>
      </c>
      <c r="D312" s="22" t="s">
        <v>537</v>
      </c>
      <c r="E312" s="22">
        <v>60201</v>
      </c>
      <c r="F312" s="63" t="s">
        <v>397</v>
      </c>
      <c r="G312" s="34">
        <v>23</v>
      </c>
      <c r="H312" s="64">
        <v>9.57</v>
      </c>
      <c r="I312" s="65">
        <v>7.2000000000000008E-2</v>
      </c>
      <c r="J312" s="34">
        <v>1</v>
      </c>
      <c r="K312" s="66">
        <v>4.3478260869565216E-2</v>
      </c>
    </row>
    <row r="313" spans="2:11" x14ac:dyDescent="0.35">
      <c r="B313" s="22">
        <v>602</v>
      </c>
      <c r="C313" s="22" t="s">
        <v>538</v>
      </c>
      <c r="D313" s="22" t="s">
        <v>537</v>
      </c>
      <c r="E313" s="22">
        <v>60202</v>
      </c>
      <c r="F313" s="63" t="s">
        <v>398</v>
      </c>
      <c r="G313" s="34" t="s">
        <v>464</v>
      </c>
      <c r="H313" s="64"/>
      <c r="I313" s="65"/>
      <c r="J313" s="34"/>
      <c r="K313" s="22"/>
    </row>
    <row r="314" spans="2:11" x14ac:dyDescent="0.35">
      <c r="B314" s="22">
        <v>602</v>
      </c>
      <c r="C314" s="22" t="s">
        <v>538</v>
      </c>
      <c r="D314" s="22" t="s">
        <v>537</v>
      </c>
      <c r="E314" s="22">
        <v>60203</v>
      </c>
      <c r="F314" s="63" t="s">
        <v>399</v>
      </c>
      <c r="G314" s="34">
        <v>9</v>
      </c>
      <c r="H314" s="64">
        <v>8.75</v>
      </c>
      <c r="I314" s="65">
        <v>4.8000000000000001E-2</v>
      </c>
      <c r="J314" s="34"/>
      <c r="K314" s="22"/>
    </row>
    <row r="315" spans="2:11" x14ac:dyDescent="0.35">
      <c r="B315" s="22">
        <v>603</v>
      </c>
      <c r="C315" s="22" t="s">
        <v>539</v>
      </c>
      <c r="D315" s="22" t="s">
        <v>537</v>
      </c>
      <c r="E315" s="22">
        <v>60301</v>
      </c>
      <c r="F315" s="63" t="s">
        <v>400</v>
      </c>
      <c r="G315" s="34" t="s">
        <v>464</v>
      </c>
      <c r="H315" s="64"/>
      <c r="I315" s="65"/>
      <c r="J315" s="34"/>
      <c r="K315" s="22"/>
    </row>
    <row r="316" spans="2:11" x14ac:dyDescent="0.35">
      <c r="B316" s="22">
        <v>603</v>
      </c>
      <c r="C316" s="22" t="s">
        <v>539</v>
      </c>
      <c r="D316" s="22" t="s">
        <v>537</v>
      </c>
      <c r="E316" s="22">
        <v>60302</v>
      </c>
      <c r="F316" s="63" t="s">
        <v>401</v>
      </c>
      <c r="G316" s="34">
        <v>5</v>
      </c>
      <c r="H316" s="64">
        <v>8.23</v>
      </c>
      <c r="I316" s="65">
        <v>1.3999999999999999E-2</v>
      </c>
      <c r="J316" s="34"/>
      <c r="K316" s="22"/>
    </row>
    <row r="317" spans="2:11" x14ac:dyDescent="0.35">
      <c r="B317" s="22">
        <v>603</v>
      </c>
      <c r="C317" s="22" t="s">
        <v>539</v>
      </c>
      <c r="D317" s="22" t="s">
        <v>537</v>
      </c>
      <c r="E317" s="22">
        <v>60303</v>
      </c>
      <c r="F317" s="63" t="s">
        <v>402</v>
      </c>
      <c r="G317" s="34" t="s">
        <v>464</v>
      </c>
      <c r="H317" s="64"/>
      <c r="I317" s="65"/>
      <c r="J317" s="34"/>
      <c r="K317" s="22"/>
    </row>
    <row r="318" spans="2:11" x14ac:dyDescent="0.35">
      <c r="B318" s="22">
        <v>604</v>
      </c>
      <c r="C318" s="22" t="s">
        <v>540</v>
      </c>
      <c r="D318" s="22" t="s">
        <v>537</v>
      </c>
      <c r="E318" s="22">
        <v>60401</v>
      </c>
      <c r="F318" s="63" t="s">
        <v>403</v>
      </c>
      <c r="G318" s="34">
        <v>13</v>
      </c>
      <c r="H318" s="64">
        <v>9.06</v>
      </c>
      <c r="I318" s="65">
        <v>0.13699999999999998</v>
      </c>
      <c r="J318" s="34"/>
      <c r="K318" s="22"/>
    </row>
    <row r="319" spans="2:11" x14ac:dyDescent="0.35">
      <c r="B319" s="22">
        <v>604</v>
      </c>
      <c r="C319" s="22" t="s">
        <v>540</v>
      </c>
      <c r="D319" s="22" t="s">
        <v>537</v>
      </c>
      <c r="E319" s="22">
        <v>60402</v>
      </c>
      <c r="F319" s="63" t="s">
        <v>404</v>
      </c>
      <c r="G319" s="34">
        <v>7</v>
      </c>
      <c r="H319" s="64">
        <v>8.92</v>
      </c>
      <c r="I319" s="65">
        <v>1.3000000000000001E-2</v>
      </c>
      <c r="J319" s="34"/>
      <c r="K319" s="22"/>
    </row>
    <row r="320" spans="2:11" x14ac:dyDescent="0.35">
      <c r="B320" s="22">
        <v>604</v>
      </c>
      <c r="C320" s="22" t="s">
        <v>540</v>
      </c>
      <c r="D320" s="22" t="s">
        <v>537</v>
      </c>
      <c r="E320" s="22">
        <v>60403</v>
      </c>
      <c r="F320" s="63" t="s">
        <v>405</v>
      </c>
      <c r="G320" s="34" t="s">
        <v>464</v>
      </c>
      <c r="H320" s="64"/>
      <c r="I320" s="65"/>
      <c r="J320" s="34"/>
      <c r="K320" s="22"/>
    </row>
    <row r="321" spans="2:11" x14ac:dyDescent="0.35">
      <c r="B321" s="22">
        <v>701</v>
      </c>
      <c r="C321" s="22" t="s">
        <v>541</v>
      </c>
      <c r="D321" s="22" t="s">
        <v>542</v>
      </c>
      <c r="E321" s="22">
        <v>70101</v>
      </c>
      <c r="F321" s="63" t="s">
        <v>406</v>
      </c>
      <c r="G321" s="34">
        <v>10</v>
      </c>
      <c r="H321" s="64">
        <v>9.44</v>
      </c>
      <c r="I321" s="65">
        <v>-6.9999999999999993E-3</v>
      </c>
      <c r="J321" s="34"/>
      <c r="K321" s="22"/>
    </row>
    <row r="322" spans="2:11" x14ac:dyDescent="0.35">
      <c r="B322" s="22">
        <v>701</v>
      </c>
      <c r="C322" s="22" t="s">
        <v>541</v>
      </c>
      <c r="D322" s="22" t="s">
        <v>542</v>
      </c>
      <c r="E322" s="22">
        <v>70102</v>
      </c>
      <c r="F322" s="63" t="s">
        <v>407</v>
      </c>
      <c r="G322" s="34">
        <v>27</v>
      </c>
      <c r="H322" s="64">
        <v>9.07</v>
      </c>
      <c r="I322" s="65">
        <v>2.7999999999999997E-2</v>
      </c>
      <c r="J322" s="34"/>
      <c r="K322" s="22"/>
    </row>
    <row r="323" spans="2:11" x14ac:dyDescent="0.35">
      <c r="B323" s="22">
        <v>701</v>
      </c>
      <c r="C323" s="22" t="s">
        <v>541</v>
      </c>
      <c r="D323" s="22" t="s">
        <v>542</v>
      </c>
      <c r="E323" s="22">
        <v>70103</v>
      </c>
      <c r="F323" s="63" t="s">
        <v>408</v>
      </c>
      <c r="G323" s="34">
        <v>7</v>
      </c>
      <c r="H323" s="64">
        <v>8.06</v>
      </c>
      <c r="I323" s="65">
        <v>-4.2999999999999997E-2</v>
      </c>
      <c r="J323" s="34"/>
      <c r="K323" s="22"/>
    </row>
    <row r="324" spans="2:11" x14ac:dyDescent="0.35">
      <c r="B324" s="22">
        <v>701</v>
      </c>
      <c r="C324" s="22" t="s">
        <v>541</v>
      </c>
      <c r="D324" s="22" t="s">
        <v>542</v>
      </c>
      <c r="E324" s="22">
        <v>70104</v>
      </c>
      <c r="F324" s="63" t="s">
        <v>409</v>
      </c>
      <c r="G324" s="34">
        <v>21</v>
      </c>
      <c r="H324" s="64">
        <v>8.9700000000000006</v>
      </c>
      <c r="I324" s="65">
        <v>-3.0000000000000001E-3</v>
      </c>
      <c r="J324" s="34"/>
      <c r="K324" s="22"/>
    </row>
    <row r="325" spans="2:11" x14ac:dyDescent="0.35">
      <c r="B325" s="22">
        <v>702</v>
      </c>
      <c r="C325" s="22" t="s">
        <v>543</v>
      </c>
      <c r="D325" s="22" t="s">
        <v>542</v>
      </c>
      <c r="E325" s="22">
        <v>70201</v>
      </c>
      <c r="F325" s="63" t="s">
        <v>410</v>
      </c>
      <c r="G325" s="34">
        <v>22</v>
      </c>
      <c r="H325" s="64">
        <v>5.8</v>
      </c>
      <c r="I325" s="65">
        <v>-0.27100000000000002</v>
      </c>
      <c r="J325" s="34"/>
      <c r="K325" s="22"/>
    </row>
    <row r="326" spans="2:11" x14ac:dyDescent="0.35">
      <c r="B326" s="22">
        <v>702</v>
      </c>
      <c r="C326" s="22" t="s">
        <v>543</v>
      </c>
      <c r="D326" s="22" t="s">
        <v>542</v>
      </c>
      <c r="E326" s="22">
        <v>70202</v>
      </c>
      <c r="F326" s="63" t="s">
        <v>411</v>
      </c>
      <c r="G326" s="34" t="s">
        <v>464</v>
      </c>
      <c r="H326" s="64"/>
      <c r="I326" s="65"/>
      <c r="J326" s="34"/>
      <c r="K326" s="22"/>
    </row>
    <row r="327" spans="2:11" x14ac:dyDescent="0.35">
      <c r="B327" s="22">
        <v>702</v>
      </c>
      <c r="C327" s="22" t="s">
        <v>543</v>
      </c>
      <c r="D327" s="22" t="s">
        <v>542</v>
      </c>
      <c r="E327" s="22">
        <v>70203</v>
      </c>
      <c r="F327" s="63" t="s">
        <v>412</v>
      </c>
      <c r="G327" s="34" t="s">
        <v>464</v>
      </c>
      <c r="H327" s="64"/>
      <c r="I327" s="65"/>
      <c r="J327" s="34"/>
      <c r="K327" s="22"/>
    </row>
    <row r="328" spans="2:11" x14ac:dyDescent="0.35">
      <c r="B328" s="22">
        <v>702</v>
      </c>
      <c r="C328" s="22" t="s">
        <v>543</v>
      </c>
      <c r="D328" s="22" t="s">
        <v>542</v>
      </c>
      <c r="E328" s="22">
        <v>70204</v>
      </c>
      <c r="F328" s="63" t="s">
        <v>413</v>
      </c>
      <c r="G328" s="34">
        <v>5</v>
      </c>
      <c r="H328" s="64">
        <v>7.96</v>
      </c>
      <c r="I328" s="65"/>
      <c r="J328" s="34"/>
      <c r="K328" s="22"/>
    </row>
    <row r="329" spans="2:11" x14ac:dyDescent="0.35">
      <c r="B329" s="22">
        <v>702</v>
      </c>
      <c r="C329" s="22" t="s">
        <v>543</v>
      </c>
      <c r="D329" s="22" t="s">
        <v>542</v>
      </c>
      <c r="E329" s="22">
        <v>70205</v>
      </c>
      <c r="F329" s="63" t="s">
        <v>414</v>
      </c>
      <c r="G329" s="34">
        <v>9</v>
      </c>
      <c r="H329" s="64">
        <v>7.03</v>
      </c>
      <c r="I329" s="65"/>
      <c r="J329" s="34"/>
      <c r="K329" s="22"/>
    </row>
    <row r="330" spans="2:11" x14ac:dyDescent="0.35">
      <c r="B330" s="22">
        <v>801</v>
      </c>
      <c r="C330" s="22" t="s">
        <v>544</v>
      </c>
      <c r="D330" s="22" t="s">
        <v>544</v>
      </c>
      <c r="E330" s="22">
        <v>80101</v>
      </c>
      <c r="F330" s="63" t="s">
        <v>415</v>
      </c>
      <c r="G330" s="34">
        <v>31</v>
      </c>
      <c r="H330" s="64">
        <v>11.04</v>
      </c>
      <c r="I330" s="65">
        <v>1.3999999999999999E-2</v>
      </c>
      <c r="J330" s="34">
        <v>8</v>
      </c>
      <c r="K330" s="66">
        <v>0.25806451612903225</v>
      </c>
    </row>
    <row r="331" spans="2:11" x14ac:dyDescent="0.35">
      <c r="B331" s="22">
        <v>801</v>
      </c>
      <c r="C331" s="22" t="s">
        <v>544</v>
      </c>
      <c r="D331" s="22" t="s">
        <v>544</v>
      </c>
      <c r="E331" s="22">
        <v>80103</v>
      </c>
      <c r="F331" s="63" t="s">
        <v>416</v>
      </c>
      <c r="G331" s="34">
        <v>6</v>
      </c>
      <c r="H331" s="64">
        <v>11.52</v>
      </c>
      <c r="I331" s="65"/>
      <c r="J331" s="34">
        <v>2</v>
      </c>
      <c r="K331" s="66">
        <v>0.33333333333333331</v>
      </c>
    </row>
    <row r="332" spans="2:11" x14ac:dyDescent="0.35">
      <c r="B332" s="22">
        <v>801</v>
      </c>
      <c r="C332" s="22" t="s">
        <v>544</v>
      </c>
      <c r="D332" s="22" t="s">
        <v>544</v>
      </c>
      <c r="E332" s="22">
        <v>80104</v>
      </c>
      <c r="F332" s="63" t="s">
        <v>417</v>
      </c>
      <c r="G332" s="34">
        <v>21</v>
      </c>
      <c r="H332" s="64">
        <v>11.23</v>
      </c>
      <c r="I332" s="65">
        <v>1.3000000000000001E-2</v>
      </c>
      <c r="J332" s="34">
        <v>4</v>
      </c>
      <c r="K332" s="66">
        <v>0.19047619047619047</v>
      </c>
    </row>
    <row r="333" spans="2:11" x14ac:dyDescent="0.35">
      <c r="B333" s="22">
        <v>801</v>
      </c>
      <c r="C333" s="22" t="s">
        <v>544</v>
      </c>
      <c r="D333" s="22" t="s">
        <v>544</v>
      </c>
      <c r="E333" s="22">
        <v>80105</v>
      </c>
      <c r="F333" s="63" t="s">
        <v>418</v>
      </c>
      <c r="G333" s="34">
        <v>29</v>
      </c>
      <c r="H333" s="64">
        <v>11.42</v>
      </c>
      <c r="I333" s="65">
        <v>2.5000000000000001E-2</v>
      </c>
      <c r="J333" s="34">
        <v>11</v>
      </c>
      <c r="K333" s="66">
        <v>0.37931034482758619</v>
      </c>
    </row>
    <row r="334" spans="2:11" x14ac:dyDescent="0.35">
      <c r="B334" s="22">
        <v>801</v>
      </c>
      <c r="C334" s="22" t="s">
        <v>544</v>
      </c>
      <c r="D334" s="22" t="s">
        <v>544</v>
      </c>
      <c r="E334" s="22">
        <v>80106</v>
      </c>
      <c r="F334" s="63" t="s">
        <v>419</v>
      </c>
      <c r="G334" s="34">
        <v>25</v>
      </c>
      <c r="H334" s="64">
        <v>11.43</v>
      </c>
      <c r="I334" s="65">
        <v>1.8000000000000002E-2</v>
      </c>
      <c r="J334" s="34">
        <v>9</v>
      </c>
      <c r="K334" s="66">
        <v>0.36</v>
      </c>
    </row>
    <row r="335" spans="2:11" x14ac:dyDescent="0.35">
      <c r="B335" s="22">
        <v>801</v>
      </c>
      <c r="C335" s="22" t="s">
        <v>544</v>
      </c>
      <c r="D335" s="22" t="s">
        <v>544</v>
      </c>
      <c r="E335" s="22">
        <v>80107</v>
      </c>
      <c r="F335" s="63" t="s">
        <v>420</v>
      </c>
      <c r="G335" s="34">
        <v>31</v>
      </c>
      <c r="H335" s="64">
        <v>11.13</v>
      </c>
      <c r="I335" s="65">
        <v>1.6E-2</v>
      </c>
      <c r="J335" s="34">
        <v>3</v>
      </c>
      <c r="K335" s="66">
        <v>9.6774193548387094E-2</v>
      </c>
    </row>
    <row r="336" spans="2:11" x14ac:dyDescent="0.35">
      <c r="B336" s="22">
        <v>801</v>
      </c>
      <c r="C336" s="22" t="s">
        <v>544</v>
      </c>
      <c r="D336" s="22" t="s">
        <v>544</v>
      </c>
      <c r="E336" s="22">
        <v>80108</v>
      </c>
      <c r="F336" s="63" t="s">
        <v>421</v>
      </c>
      <c r="G336" s="34">
        <v>7</v>
      </c>
      <c r="H336" s="64">
        <v>10.99</v>
      </c>
      <c r="I336" s="65">
        <v>6.5000000000000002E-2</v>
      </c>
      <c r="J336" s="34">
        <v>1</v>
      </c>
      <c r="K336" s="66">
        <v>0.14285714285714285</v>
      </c>
    </row>
    <row r="337" spans="2:11" x14ac:dyDescent="0.35">
      <c r="B337" s="22">
        <v>801</v>
      </c>
      <c r="C337" s="22" t="s">
        <v>544</v>
      </c>
      <c r="D337" s="22" t="s">
        <v>544</v>
      </c>
      <c r="E337" s="22">
        <v>80109</v>
      </c>
      <c r="F337" s="63" t="s">
        <v>422</v>
      </c>
      <c r="G337" s="34">
        <v>17</v>
      </c>
      <c r="H337" s="64">
        <v>11.06</v>
      </c>
      <c r="I337" s="65">
        <v>2.4E-2</v>
      </c>
      <c r="J337" s="34">
        <v>4</v>
      </c>
      <c r="K337" s="66">
        <v>0.23529411764705882</v>
      </c>
    </row>
    <row r="338" spans="2:11" x14ac:dyDescent="0.35">
      <c r="B338" s="22">
        <v>801</v>
      </c>
      <c r="C338" s="22" t="s">
        <v>544</v>
      </c>
      <c r="D338" s="22" t="s">
        <v>544</v>
      </c>
      <c r="E338" s="22">
        <v>80110</v>
      </c>
      <c r="F338" s="63" t="s">
        <v>423</v>
      </c>
      <c r="G338" s="34" t="s">
        <v>464</v>
      </c>
      <c r="H338" s="64"/>
      <c r="I338" s="65"/>
      <c r="J338" s="34"/>
      <c r="K338" s="22"/>
    </row>
    <row r="339" spans="2:11" x14ac:dyDescent="0.35">
      <c r="B339" s="22">
        <v>901</v>
      </c>
      <c r="C339" s="22" t="s">
        <v>545</v>
      </c>
      <c r="D339" s="22" t="s">
        <v>545</v>
      </c>
      <c r="E339" s="22">
        <v>90101</v>
      </c>
      <c r="F339" s="63" t="s">
        <v>424</v>
      </c>
      <c r="G339" s="34" t="s">
        <v>464</v>
      </c>
      <c r="H339" s="64"/>
      <c r="I339" s="65"/>
      <c r="J339" s="34"/>
      <c r="K339" s="22"/>
    </row>
    <row r="340" spans="2:11" x14ac:dyDescent="0.35">
      <c r="B340" s="22">
        <v>901</v>
      </c>
      <c r="C340" s="22" t="s">
        <v>545</v>
      </c>
      <c r="D340" s="22" t="s">
        <v>545</v>
      </c>
      <c r="E340" s="22">
        <v>90103</v>
      </c>
      <c r="F340" s="63" t="s">
        <v>425</v>
      </c>
      <c r="G340" s="34" t="s">
        <v>464</v>
      </c>
      <c r="H340" s="64"/>
      <c r="I340" s="65"/>
      <c r="J340" s="34"/>
      <c r="K340" s="22"/>
    </row>
    <row r="342" spans="2:11" x14ac:dyDescent="0.35">
      <c r="B342" s="68" t="s">
        <v>546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3:K337"/>
  <sheetViews>
    <sheetView workbookViewId="0"/>
  </sheetViews>
  <sheetFormatPr defaultRowHeight="14.5" x14ac:dyDescent="0.35"/>
  <cols>
    <col min="3" max="3" width="38.1796875" bestFit="1" customWidth="1"/>
    <col min="4" max="4" width="25.1796875" bestFit="1" customWidth="1"/>
    <col min="5" max="5" width="9" bestFit="1" customWidth="1"/>
    <col min="6" max="6" width="34.26953125" bestFit="1" customWidth="1"/>
    <col min="7" max="7" width="21.1796875" bestFit="1" customWidth="1"/>
    <col min="8" max="8" width="25" bestFit="1" customWidth="1"/>
    <col min="9" max="9" width="41.7265625" bestFit="1" customWidth="1"/>
    <col min="10" max="10" width="33.81640625" bestFit="1" customWidth="1"/>
    <col min="11" max="11" width="32.81640625" customWidth="1"/>
  </cols>
  <sheetData>
    <row r="3" spans="2:11" ht="18.5" x14ac:dyDescent="0.45">
      <c r="B3" s="7" t="s">
        <v>550</v>
      </c>
    </row>
    <row r="6" spans="2:11" ht="15.5" x14ac:dyDescent="0.35">
      <c r="B6" s="26" t="s">
        <v>552</v>
      </c>
    </row>
    <row r="7" spans="2:11" x14ac:dyDescent="0.35">
      <c r="B7" s="30" t="s">
        <v>448</v>
      </c>
      <c r="C7" s="30" t="s">
        <v>449</v>
      </c>
      <c r="D7" s="30" t="s">
        <v>450</v>
      </c>
      <c r="E7" s="30" t="s">
        <v>451</v>
      </c>
      <c r="F7" s="30" t="s">
        <v>452</v>
      </c>
      <c r="G7" s="30" t="s">
        <v>453</v>
      </c>
      <c r="H7" s="30" t="s">
        <v>454</v>
      </c>
      <c r="I7" s="30" t="s">
        <v>455</v>
      </c>
      <c r="J7" s="30" t="s">
        <v>456</v>
      </c>
      <c r="K7" s="30" t="s">
        <v>457</v>
      </c>
    </row>
    <row r="8" spans="2:11" x14ac:dyDescent="0.35">
      <c r="B8" s="22">
        <v>101</v>
      </c>
      <c r="C8" s="22" t="s">
        <v>458</v>
      </c>
      <c r="D8" s="22" t="s">
        <v>459</v>
      </c>
      <c r="E8" s="22">
        <v>10102</v>
      </c>
      <c r="F8" s="63" t="s">
        <v>93</v>
      </c>
      <c r="G8" s="34">
        <v>10</v>
      </c>
      <c r="H8" s="64">
        <v>7.82</v>
      </c>
      <c r="I8" s="67">
        <v>-2.1000000000000001E-2</v>
      </c>
      <c r="J8" s="34"/>
      <c r="K8" s="22"/>
    </row>
    <row r="9" spans="2:11" x14ac:dyDescent="0.35">
      <c r="B9" s="22">
        <v>101</v>
      </c>
      <c r="C9" s="22" t="s">
        <v>458</v>
      </c>
      <c r="D9" s="22" t="s">
        <v>459</v>
      </c>
      <c r="E9" s="22">
        <v>10103</v>
      </c>
      <c r="F9" s="63" t="s">
        <v>94</v>
      </c>
      <c r="G9" s="34" t="s">
        <v>464</v>
      </c>
      <c r="H9" s="64"/>
      <c r="I9" s="67"/>
      <c r="J9" s="34"/>
      <c r="K9" s="22"/>
    </row>
    <row r="10" spans="2:11" x14ac:dyDescent="0.35">
      <c r="B10" s="22">
        <v>101</v>
      </c>
      <c r="C10" s="22" t="s">
        <v>458</v>
      </c>
      <c r="D10" s="22" t="s">
        <v>459</v>
      </c>
      <c r="E10" s="22">
        <v>10104</v>
      </c>
      <c r="F10" s="63" t="s">
        <v>95</v>
      </c>
      <c r="G10" s="34">
        <v>7</v>
      </c>
      <c r="H10" s="64">
        <v>7.61</v>
      </c>
      <c r="I10" s="67">
        <v>4.2999999999999997E-2</v>
      </c>
      <c r="J10" s="34"/>
      <c r="K10" s="22"/>
    </row>
    <row r="11" spans="2:11" x14ac:dyDescent="0.35">
      <c r="B11" s="22">
        <v>101</v>
      </c>
      <c r="C11" s="22" t="s">
        <v>458</v>
      </c>
      <c r="D11" s="22" t="s">
        <v>459</v>
      </c>
      <c r="E11" s="22">
        <v>10105</v>
      </c>
      <c r="F11" s="63" t="s">
        <v>96</v>
      </c>
      <c r="G11" s="34" t="s">
        <v>464</v>
      </c>
      <c r="H11" s="64"/>
      <c r="I11" s="67"/>
      <c r="J11" s="34"/>
      <c r="K11" s="22"/>
    </row>
    <row r="12" spans="2:11" x14ac:dyDescent="0.35">
      <c r="B12" s="22">
        <v>101</v>
      </c>
      <c r="C12" s="22" t="s">
        <v>458</v>
      </c>
      <c r="D12" s="22" t="s">
        <v>459</v>
      </c>
      <c r="E12" s="22">
        <v>10106</v>
      </c>
      <c r="F12" s="63" t="s">
        <v>97</v>
      </c>
      <c r="G12" s="34">
        <v>6</v>
      </c>
      <c r="H12" s="64">
        <v>7.66</v>
      </c>
      <c r="I12" s="67">
        <v>-2.2000000000000002E-2</v>
      </c>
      <c r="J12" s="34">
        <v>1</v>
      </c>
      <c r="K12" s="66">
        <v>0.16666666666666666</v>
      </c>
    </row>
    <row r="13" spans="2:11" x14ac:dyDescent="0.35">
      <c r="B13" s="22">
        <v>102</v>
      </c>
      <c r="C13" s="22" t="s">
        <v>460</v>
      </c>
      <c r="D13" s="22" t="s">
        <v>459</v>
      </c>
      <c r="E13" s="22">
        <v>10201</v>
      </c>
      <c r="F13" s="63" t="s">
        <v>98</v>
      </c>
      <c r="G13" s="34">
        <v>31</v>
      </c>
      <c r="H13" s="64">
        <v>7.48</v>
      </c>
      <c r="I13" s="67">
        <v>-6.9999999999999993E-3</v>
      </c>
      <c r="J13" s="34"/>
      <c r="K13" s="22"/>
    </row>
    <row r="14" spans="2:11" x14ac:dyDescent="0.35">
      <c r="B14" s="22">
        <v>102</v>
      </c>
      <c r="C14" s="22" t="s">
        <v>460</v>
      </c>
      <c r="D14" s="22" t="s">
        <v>459</v>
      </c>
      <c r="E14" s="22">
        <v>10202</v>
      </c>
      <c r="F14" s="63" t="s">
        <v>99</v>
      </c>
      <c r="G14" s="34">
        <v>30</v>
      </c>
      <c r="H14" s="64">
        <v>7.69</v>
      </c>
      <c r="I14" s="67">
        <v>3.7999999999999999E-2</v>
      </c>
      <c r="J14" s="34"/>
      <c r="K14" s="22"/>
    </row>
    <row r="15" spans="2:11" x14ac:dyDescent="0.35">
      <c r="B15" s="22">
        <v>103</v>
      </c>
      <c r="C15" s="22" t="s">
        <v>461</v>
      </c>
      <c r="D15" s="22" t="s">
        <v>459</v>
      </c>
      <c r="E15" s="22">
        <v>10301</v>
      </c>
      <c r="F15" s="63" t="s">
        <v>100</v>
      </c>
      <c r="G15" s="34">
        <v>9</v>
      </c>
      <c r="H15" s="64">
        <v>7</v>
      </c>
      <c r="I15" s="67">
        <v>0.159</v>
      </c>
      <c r="J15" s="34"/>
      <c r="K15" s="22"/>
    </row>
    <row r="16" spans="2:11" x14ac:dyDescent="0.35">
      <c r="B16" s="22">
        <v>103</v>
      </c>
      <c r="C16" s="22" t="s">
        <v>461</v>
      </c>
      <c r="D16" s="22" t="s">
        <v>459</v>
      </c>
      <c r="E16" s="22">
        <v>10302</v>
      </c>
      <c r="F16" s="63" t="s">
        <v>101</v>
      </c>
      <c r="G16" s="34">
        <v>7</v>
      </c>
      <c r="H16" s="64">
        <v>6.31</v>
      </c>
      <c r="I16" s="67">
        <v>-3.3000000000000002E-2</v>
      </c>
      <c r="J16" s="34"/>
      <c r="K16" s="22"/>
    </row>
    <row r="17" spans="2:11" x14ac:dyDescent="0.35">
      <c r="B17" s="22">
        <v>103</v>
      </c>
      <c r="C17" s="22" t="s">
        <v>461</v>
      </c>
      <c r="D17" s="22" t="s">
        <v>459</v>
      </c>
      <c r="E17" s="22">
        <v>10303</v>
      </c>
      <c r="F17" s="63" t="s">
        <v>102</v>
      </c>
      <c r="G17" s="34" t="s">
        <v>464</v>
      </c>
      <c r="H17" s="64"/>
      <c r="I17" s="67"/>
      <c r="J17" s="34"/>
      <c r="K17" s="22"/>
    </row>
    <row r="18" spans="2:11" x14ac:dyDescent="0.35">
      <c r="B18" s="22">
        <v>103</v>
      </c>
      <c r="C18" s="22" t="s">
        <v>461</v>
      </c>
      <c r="D18" s="22" t="s">
        <v>459</v>
      </c>
      <c r="E18" s="22">
        <v>10304</v>
      </c>
      <c r="F18" s="63" t="s">
        <v>103</v>
      </c>
      <c r="G18" s="34">
        <v>11</v>
      </c>
      <c r="H18" s="64">
        <v>9.34</v>
      </c>
      <c r="I18" s="67">
        <v>8.199999999999999E-2</v>
      </c>
      <c r="J18" s="34">
        <v>1</v>
      </c>
      <c r="K18" s="66">
        <v>9.0909090909090912E-2</v>
      </c>
    </row>
    <row r="19" spans="2:11" x14ac:dyDescent="0.35">
      <c r="B19" s="22">
        <v>104</v>
      </c>
      <c r="C19" s="22" t="s">
        <v>462</v>
      </c>
      <c r="D19" s="22" t="s">
        <v>459</v>
      </c>
      <c r="E19" s="22">
        <v>10401</v>
      </c>
      <c r="F19" s="63" t="s">
        <v>104</v>
      </c>
      <c r="G19" s="34" t="s">
        <v>464</v>
      </c>
      <c r="H19" s="64"/>
      <c r="I19" s="67"/>
      <c r="J19" s="34"/>
      <c r="K19" s="22"/>
    </row>
    <row r="20" spans="2:11" x14ac:dyDescent="0.35">
      <c r="B20" s="22">
        <v>104</v>
      </c>
      <c r="C20" s="22" t="s">
        <v>462</v>
      </c>
      <c r="D20" s="22" t="s">
        <v>459</v>
      </c>
      <c r="E20" s="22">
        <v>10402</v>
      </c>
      <c r="F20" s="63" t="s">
        <v>105</v>
      </c>
      <c r="G20" s="34">
        <v>10</v>
      </c>
      <c r="H20" s="64">
        <v>6.89</v>
      </c>
      <c r="I20" s="67">
        <v>2.7999999999999997E-2</v>
      </c>
      <c r="J20" s="34">
        <v>1</v>
      </c>
      <c r="K20" s="66">
        <v>0.1</v>
      </c>
    </row>
    <row r="21" spans="2:11" x14ac:dyDescent="0.35">
      <c r="B21" s="22">
        <v>105</v>
      </c>
      <c r="C21" s="22" t="s">
        <v>463</v>
      </c>
      <c r="D21" s="22" t="s">
        <v>459</v>
      </c>
      <c r="E21" s="22">
        <v>10501</v>
      </c>
      <c r="F21" s="63" t="s">
        <v>106</v>
      </c>
      <c r="G21" s="34" t="s">
        <v>464</v>
      </c>
      <c r="H21" s="64"/>
      <c r="I21" s="67"/>
      <c r="J21" s="34"/>
      <c r="K21" s="22"/>
    </row>
    <row r="22" spans="2:11" x14ac:dyDescent="0.35">
      <c r="B22" s="22">
        <v>105</v>
      </c>
      <c r="C22" s="22" t="s">
        <v>463</v>
      </c>
      <c r="D22" s="22" t="s">
        <v>459</v>
      </c>
      <c r="E22" s="22">
        <v>10502</v>
      </c>
      <c r="F22" s="63" t="s">
        <v>107</v>
      </c>
      <c r="G22" s="34" t="s">
        <v>464</v>
      </c>
      <c r="H22" s="64"/>
      <c r="I22" s="67"/>
      <c r="J22" s="34"/>
      <c r="K22" s="22"/>
    </row>
    <row r="23" spans="2:11" x14ac:dyDescent="0.35">
      <c r="B23" s="22">
        <v>105</v>
      </c>
      <c r="C23" s="22" t="s">
        <v>463</v>
      </c>
      <c r="D23" s="22" t="s">
        <v>459</v>
      </c>
      <c r="E23" s="22">
        <v>10503</v>
      </c>
      <c r="F23" s="63" t="s">
        <v>108</v>
      </c>
      <c r="G23" s="34">
        <v>9</v>
      </c>
      <c r="H23" s="64">
        <v>6.9</v>
      </c>
      <c r="I23" s="67">
        <v>0.12</v>
      </c>
      <c r="J23" s="34"/>
      <c r="K23" s="22"/>
    </row>
    <row r="24" spans="2:11" x14ac:dyDescent="0.35">
      <c r="B24" s="22">
        <v>106</v>
      </c>
      <c r="C24" s="22" t="s">
        <v>465</v>
      </c>
      <c r="D24" s="22" t="s">
        <v>459</v>
      </c>
      <c r="E24" s="22">
        <v>10601</v>
      </c>
      <c r="F24" s="63" t="s">
        <v>109</v>
      </c>
      <c r="G24" s="34">
        <v>10</v>
      </c>
      <c r="H24" s="64">
        <v>7.37</v>
      </c>
      <c r="I24" s="67">
        <v>-6.7000000000000004E-2</v>
      </c>
      <c r="J24" s="34">
        <v>1</v>
      </c>
      <c r="K24" s="66">
        <v>0.1</v>
      </c>
    </row>
    <row r="25" spans="2:11" x14ac:dyDescent="0.35">
      <c r="B25" s="22">
        <v>106</v>
      </c>
      <c r="C25" s="22" t="s">
        <v>465</v>
      </c>
      <c r="D25" s="22" t="s">
        <v>459</v>
      </c>
      <c r="E25" s="22">
        <v>10602</v>
      </c>
      <c r="F25" s="63" t="s">
        <v>110</v>
      </c>
      <c r="G25" s="34">
        <v>19</v>
      </c>
      <c r="H25" s="64">
        <v>6.75</v>
      </c>
      <c r="I25" s="67">
        <v>-6.9999999999999993E-3</v>
      </c>
      <c r="J25" s="34"/>
      <c r="K25" s="22"/>
    </row>
    <row r="26" spans="2:11" x14ac:dyDescent="0.35">
      <c r="B26" s="22">
        <v>106</v>
      </c>
      <c r="C26" s="22" t="s">
        <v>465</v>
      </c>
      <c r="D26" s="22" t="s">
        <v>459</v>
      </c>
      <c r="E26" s="22">
        <v>10603</v>
      </c>
      <c r="F26" s="63" t="s">
        <v>111</v>
      </c>
      <c r="G26" s="34">
        <v>13</v>
      </c>
      <c r="H26" s="64">
        <v>7.77</v>
      </c>
      <c r="I26" s="67">
        <v>3.0000000000000001E-3</v>
      </c>
      <c r="J26" s="34"/>
      <c r="K26" s="22"/>
    </row>
    <row r="27" spans="2:11" x14ac:dyDescent="0.35">
      <c r="B27" s="22">
        <v>106</v>
      </c>
      <c r="C27" s="22" t="s">
        <v>465</v>
      </c>
      <c r="D27" s="22" t="s">
        <v>459</v>
      </c>
      <c r="E27" s="22">
        <v>10604</v>
      </c>
      <c r="F27" s="63" t="s">
        <v>112</v>
      </c>
      <c r="G27" s="34">
        <v>5</v>
      </c>
      <c r="H27" s="64">
        <v>6.47</v>
      </c>
      <c r="I27" s="67">
        <v>-4.4999999999999998E-2</v>
      </c>
      <c r="J27" s="34"/>
      <c r="K27" s="22"/>
    </row>
    <row r="28" spans="2:11" x14ac:dyDescent="0.35">
      <c r="B28" s="22">
        <v>107</v>
      </c>
      <c r="C28" s="22" t="s">
        <v>466</v>
      </c>
      <c r="D28" s="22" t="s">
        <v>459</v>
      </c>
      <c r="E28" s="22">
        <v>10701</v>
      </c>
      <c r="F28" s="63" t="s">
        <v>113</v>
      </c>
      <c r="G28" s="34">
        <v>7</v>
      </c>
      <c r="H28" s="64">
        <v>8.18</v>
      </c>
      <c r="I28" s="67">
        <v>-9.0000000000000011E-3</v>
      </c>
      <c r="J28" s="34"/>
      <c r="K28" s="22"/>
    </row>
    <row r="29" spans="2:11" x14ac:dyDescent="0.35">
      <c r="B29" s="22">
        <v>107</v>
      </c>
      <c r="C29" s="22" t="s">
        <v>466</v>
      </c>
      <c r="D29" s="22" t="s">
        <v>459</v>
      </c>
      <c r="E29" s="22">
        <v>10703</v>
      </c>
      <c r="F29" s="63" t="s">
        <v>114</v>
      </c>
      <c r="G29" s="34">
        <v>13</v>
      </c>
      <c r="H29" s="64">
        <v>8.39</v>
      </c>
      <c r="I29" s="67">
        <v>-6.3E-2</v>
      </c>
      <c r="J29" s="34">
        <v>1</v>
      </c>
      <c r="K29" s="66">
        <v>7.6923076923076927E-2</v>
      </c>
    </row>
    <row r="30" spans="2:11" x14ac:dyDescent="0.35">
      <c r="B30" s="22">
        <v>107</v>
      </c>
      <c r="C30" s="22" t="s">
        <v>466</v>
      </c>
      <c r="D30" s="22" t="s">
        <v>459</v>
      </c>
      <c r="E30" s="22">
        <v>10704</v>
      </c>
      <c r="F30" s="63" t="s">
        <v>115</v>
      </c>
      <c r="G30" s="34">
        <v>26</v>
      </c>
      <c r="H30" s="64">
        <v>9.1199999999999992</v>
      </c>
      <c r="I30" s="67">
        <v>-3.2000000000000001E-2</v>
      </c>
      <c r="J30" s="34">
        <v>2</v>
      </c>
      <c r="K30" s="66">
        <v>7.6923076923076927E-2</v>
      </c>
    </row>
    <row r="31" spans="2:11" x14ac:dyDescent="0.35">
      <c r="B31" s="22">
        <v>108</v>
      </c>
      <c r="C31" s="22" t="s">
        <v>467</v>
      </c>
      <c r="D31" s="22" t="s">
        <v>459</v>
      </c>
      <c r="E31" s="22">
        <v>10801</v>
      </c>
      <c r="F31" s="63" t="s">
        <v>116</v>
      </c>
      <c r="G31" s="34">
        <v>5</v>
      </c>
      <c r="H31" s="64">
        <v>5.8</v>
      </c>
      <c r="I31" s="67">
        <v>2.7999999999999997E-2</v>
      </c>
      <c r="J31" s="34"/>
      <c r="K31" s="22"/>
    </row>
    <row r="32" spans="2:11" x14ac:dyDescent="0.35">
      <c r="B32" s="22">
        <v>108</v>
      </c>
      <c r="C32" s="22" t="s">
        <v>467</v>
      </c>
      <c r="D32" s="22" t="s">
        <v>459</v>
      </c>
      <c r="E32" s="22">
        <v>10802</v>
      </c>
      <c r="F32" s="63" t="s">
        <v>117</v>
      </c>
      <c r="G32" s="34">
        <v>9</v>
      </c>
      <c r="H32" s="64">
        <v>5.99</v>
      </c>
      <c r="I32" s="67">
        <v>-3.5000000000000003E-2</v>
      </c>
      <c r="J32" s="34"/>
      <c r="K32" s="22"/>
    </row>
    <row r="33" spans="2:11" x14ac:dyDescent="0.35">
      <c r="B33" s="22">
        <v>108</v>
      </c>
      <c r="C33" s="22" t="s">
        <v>467</v>
      </c>
      <c r="D33" s="22" t="s">
        <v>459</v>
      </c>
      <c r="E33" s="22">
        <v>10804</v>
      </c>
      <c r="F33" s="63" t="s">
        <v>118</v>
      </c>
      <c r="G33" s="34">
        <v>10</v>
      </c>
      <c r="H33" s="64">
        <v>6.8</v>
      </c>
      <c r="I33" s="67">
        <v>-1.8000000000000002E-2</v>
      </c>
      <c r="J33" s="34"/>
      <c r="K33" s="22"/>
    </row>
    <row r="34" spans="2:11" x14ac:dyDescent="0.35">
      <c r="B34" s="22">
        <v>108</v>
      </c>
      <c r="C34" s="22" t="s">
        <v>467</v>
      </c>
      <c r="D34" s="22" t="s">
        <v>459</v>
      </c>
      <c r="E34" s="22">
        <v>10805</v>
      </c>
      <c r="F34" s="63" t="s">
        <v>119</v>
      </c>
      <c r="G34" s="34">
        <v>5</v>
      </c>
      <c r="H34" s="64">
        <v>5.46</v>
      </c>
      <c r="I34" s="67">
        <v>-7.9000000000000001E-2</v>
      </c>
      <c r="J34" s="34"/>
      <c r="K34" s="22"/>
    </row>
    <row r="35" spans="2:11" x14ac:dyDescent="0.35">
      <c r="B35" s="22">
        <v>109</v>
      </c>
      <c r="C35" s="22" t="s">
        <v>468</v>
      </c>
      <c r="D35" s="22" t="s">
        <v>459</v>
      </c>
      <c r="E35" s="22">
        <v>10901</v>
      </c>
      <c r="F35" s="63" t="s">
        <v>120</v>
      </c>
      <c r="G35" s="34">
        <v>8</v>
      </c>
      <c r="H35" s="64">
        <v>8.9</v>
      </c>
      <c r="I35" s="67">
        <v>8.5999999999999993E-2</v>
      </c>
      <c r="J35" s="34">
        <v>2</v>
      </c>
      <c r="K35" s="66">
        <v>0.25</v>
      </c>
    </row>
    <row r="36" spans="2:11" x14ac:dyDescent="0.35">
      <c r="B36" s="22">
        <v>109</v>
      </c>
      <c r="C36" s="22" t="s">
        <v>468</v>
      </c>
      <c r="D36" s="22" t="s">
        <v>459</v>
      </c>
      <c r="E36" s="22">
        <v>10903</v>
      </c>
      <c r="F36" s="63" t="s">
        <v>122</v>
      </c>
      <c r="G36" s="34" t="s">
        <v>464</v>
      </c>
      <c r="H36" s="64"/>
      <c r="I36" s="67"/>
      <c r="J36" s="34"/>
      <c r="K36" s="22"/>
    </row>
    <row r="37" spans="2:11" x14ac:dyDescent="0.35">
      <c r="B37" s="22">
        <v>110</v>
      </c>
      <c r="C37" s="22" t="s">
        <v>469</v>
      </c>
      <c r="D37" s="22" t="s">
        <v>459</v>
      </c>
      <c r="E37" s="22">
        <v>11001</v>
      </c>
      <c r="F37" s="63" t="s">
        <v>123</v>
      </c>
      <c r="G37" s="34">
        <v>6</v>
      </c>
      <c r="H37" s="64">
        <v>8.02</v>
      </c>
      <c r="I37" s="67">
        <v>6.8000000000000005E-2</v>
      </c>
      <c r="J37" s="34">
        <v>2</v>
      </c>
      <c r="K37" s="66">
        <v>0.33333333333333331</v>
      </c>
    </row>
    <row r="38" spans="2:11" x14ac:dyDescent="0.35">
      <c r="B38" s="22">
        <v>110</v>
      </c>
      <c r="C38" s="22" t="s">
        <v>469</v>
      </c>
      <c r="D38" s="22" t="s">
        <v>459</v>
      </c>
      <c r="E38" s="22">
        <v>11002</v>
      </c>
      <c r="F38" s="63" t="s">
        <v>124</v>
      </c>
      <c r="G38" s="34" t="s">
        <v>464</v>
      </c>
      <c r="H38" s="64"/>
      <c r="I38" s="67"/>
      <c r="J38" s="34"/>
      <c r="K38" s="22"/>
    </row>
    <row r="39" spans="2:11" x14ac:dyDescent="0.35">
      <c r="B39" s="22">
        <v>110</v>
      </c>
      <c r="C39" s="22" t="s">
        <v>469</v>
      </c>
      <c r="D39" s="22" t="s">
        <v>459</v>
      </c>
      <c r="E39" s="22">
        <v>11003</v>
      </c>
      <c r="F39" s="63" t="s">
        <v>125</v>
      </c>
      <c r="G39" s="34" t="s">
        <v>464</v>
      </c>
      <c r="H39" s="64"/>
      <c r="I39" s="67"/>
      <c r="J39" s="34"/>
      <c r="K39" s="22"/>
    </row>
    <row r="40" spans="2:11" x14ac:dyDescent="0.35">
      <c r="B40" s="22">
        <v>110</v>
      </c>
      <c r="C40" s="22" t="s">
        <v>469</v>
      </c>
      <c r="D40" s="22" t="s">
        <v>459</v>
      </c>
      <c r="E40" s="22">
        <v>11004</v>
      </c>
      <c r="F40" s="63" t="s">
        <v>126</v>
      </c>
      <c r="G40" s="34">
        <v>11</v>
      </c>
      <c r="H40" s="64">
        <v>6.42</v>
      </c>
      <c r="I40" s="67">
        <v>3.7999999999999999E-2</v>
      </c>
      <c r="J40" s="34"/>
      <c r="K40" s="22"/>
    </row>
    <row r="41" spans="2:11" x14ac:dyDescent="0.35">
      <c r="B41" s="22">
        <v>111</v>
      </c>
      <c r="C41" s="22" t="s">
        <v>470</v>
      </c>
      <c r="D41" s="22" t="s">
        <v>459</v>
      </c>
      <c r="E41" s="22">
        <v>11101</v>
      </c>
      <c r="F41" s="63" t="s">
        <v>127</v>
      </c>
      <c r="G41" s="34">
        <v>29</v>
      </c>
      <c r="H41" s="64">
        <v>6.6</v>
      </c>
      <c r="I41" s="67">
        <v>-9.0000000000000011E-3</v>
      </c>
      <c r="J41" s="34"/>
      <c r="K41" s="22"/>
    </row>
    <row r="42" spans="2:11" x14ac:dyDescent="0.35">
      <c r="B42" s="22">
        <v>111</v>
      </c>
      <c r="C42" s="22" t="s">
        <v>470</v>
      </c>
      <c r="D42" s="22" t="s">
        <v>459</v>
      </c>
      <c r="E42" s="22">
        <v>11102</v>
      </c>
      <c r="F42" s="63" t="s">
        <v>128</v>
      </c>
      <c r="G42" s="34">
        <v>13</v>
      </c>
      <c r="H42" s="64">
        <v>6.43</v>
      </c>
      <c r="I42" s="67">
        <v>-3.0000000000000001E-3</v>
      </c>
      <c r="J42" s="34"/>
      <c r="K42" s="22"/>
    </row>
    <row r="43" spans="2:11" x14ac:dyDescent="0.35">
      <c r="B43" s="22">
        <v>111</v>
      </c>
      <c r="C43" s="22" t="s">
        <v>470</v>
      </c>
      <c r="D43" s="22" t="s">
        <v>459</v>
      </c>
      <c r="E43" s="22">
        <v>11103</v>
      </c>
      <c r="F43" s="63" t="s">
        <v>129</v>
      </c>
      <c r="G43" s="34">
        <v>40</v>
      </c>
      <c r="H43" s="64">
        <v>6.45</v>
      </c>
      <c r="I43" s="67">
        <v>-1.9E-2</v>
      </c>
      <c r="J43" s="34">
        <v>1</v>
      </c>
      <c r="K43" s="66">
        <v>2.5000000000000001E-2</v>
      </c>
    </row>
    <row r="44" spans="2:11" x14ac:dyDescent="0.35">
      <c r="B44" s="22">
        <v>112</v>
      </c>
      <c r="C44" s="22" t="s">
        <v>471</v>
      </c>
      <c r="D44" s="22" t="s">
        <v>459</v>
      </c>
      <c r="E44" s="22">
        <v>11201</v>
      </c>
      <c r="F44" s="63" t="s">
        <v>130</v>
      </c>
      <c r="G44" s="34">
        <v>13</v>
      </c>
      <c r="H44" s="64">
        <v>7.57</v>
      </c>
      <c r="I44" s="67">
        <v>6.4000000000000001E-2</v>
      </c>
      <c r="J44" s="34"/>
      <c r="K44" s="22"/>
    </row>
    <row r="45" spans="2:11" x14ac:dyDescent="0.35">
      <c r="B45" s="22">
        <v>112</v>
      </c>
      <c r="C45" s="22" t="s">
        <v>471</v>
      </c>
      <c r="D45" s="22" t="s">
        <v>459</v>
      </c>
      <c r="E45" s="22">
        <v>11202</v>
      </c>
      <c r="F45" s="63" t="s">
        <v>131</v>
      </c>
      <c r="G45" s="34">
        <v>18</v>
      </c>
      <c r="H45" s="64">
        <v>6.71</v>
      </c>
      <c r="I45" s="67">
        <v>-0.24600000000000002</v>
      </c>
      <c r="J45" s="34"/>
      <c r="K45" s="22"/>
    </row>
    <row r="46" spans="2:11" x14ac:dyDescent="0.35">
      <c r="B46" s="22">
        <v>112</v>
      </c>
      <c r="C46" s="22" t="s">
        <v>471</v>
      </c>
      <c r="D46" s="22" t="s">
        <v>459</v>
      </c>
      <c r="E46" s="22">
        <v>11203</v>
      </c>
      <c r="F46" s="63" t="s">
        <v>132</v>
      </c>
      <c r="G46" s="34">
        <v>16</v>
      </c>
      <c r="H46" s="64">
        <v>7.22</v>
      </c>
      <c r="I46" s="67">
        <v>-9.0999999999999998E-2</v>
      </c>
      <c r="J46" s="34"/>
      <c r="K46" s="22"/>
    </row>
    <row r="47" spans="2:11" x14ac:dyDescent="0.35">
      <c r="B47" s="22">
        <v>113</v>
      </c>
      <c r="C47" s="22" t="s">
        <v>472</v>
      </c>
      <c r="D47" s="22" t="s">
        <v>459</v>
      </c>
      <c r="E47" s="22">
        <v>11301</v>
      </c>
      <c r="F47" s="63" t="s">
        <v>133</v>
      </c>
      <c r="G47" s="34" t="s">
        <v>464</v>
      </c>
      <c r="H47" s="64"/>
      <c r="I47" s="67"/>
      <c r="J47" s="34"/>
      <c r="K47" s="22"/>
    </row>
    <row r="48" spans="2:11" x14ac:dyDescent="0.35">
      <c r="B48" s="22">
        <v>113</v>
      </c>
      <c r="C48" s="22" t="s">
        <v>472</v>
      </c>
      <c r="D48" s="22" t="s">
        <v>459</v>
      </c>
      <c r="E48" s="22">
        <v>11302</v>
      </c>
      <c r="F48" s="63" t="s">
        <v>134</v>
      </c>
      <c r="G48" s="34" t="s">
        <v>464</v>
      </c>
      <c r="H48" s="64"/>
      <c r="I48" s="67"/>
      <c r="J48" s="34"/>
      <c r="K48" s="22"/>
    </row>
    <row r="49" spans="2:11" x14ac:dyDescent="0.35">
      <c r="B49" s="22">
        <v>113</v>
      </c>
      <c r="C49" s="22" t="s">
        <v>472</v>
      </c>
      <c r="D49" s="22" t="s">
        <v>459</v>
      </c>
      <c r="E49" s="22">
        <v>11303</v>
      </c>
      <c r="F49" s="63" t="s">
        <v>135</v>
      </c>
      <c r="G49" s="34">
        <v>17</v>
      </c>
      <c r="H49" s="64">
        <v>7.19</v>
      </c>
      <c r="I49" s="67">
        <v>6.3E-2</v>
      </c>
      <c r="J49" s="34">
        <v>4</v>
      </c>
      <c r="K49" s="66">
        <v>0.23529411764705882</v>
      </c>
    </row>
    <row r="50" spans="2:11" x14ac:dyDescent="0.35">
      <c r="B50" s="22">
        <v>114</v>
      </c>
      <c r="C50" s="22" t="s">
        <v>473</v>
      </c>
      <c r="D50" s="22" t="s">
        <v>459</v>
      </c>
      <c r="E50" s="22">
        <v>11401</v>
      </c>
      <c r="F50" s="63" t="s">
        <v>136</v>
      </c>
      <c r="G50" s="34">
        <v>18</v>
      </c>
      <c r="H50" s="64">
        <v>8.16</v>
      </c>
      <c r="I50" s="67">
        <v>-5.0999999999999997E-2</v>
      </c>
      <c r="J50" s="34">
        <v>2</v>
      </c>
      <c r="K50" s="66">
        <v>0.1111111111111111</v>
      </c>
    </row>
    <row r="51" spans="2:11" x14ac:dyDescent="0.35">
      <c r="B51" s="22">
        <v>114</v>
      </c>
      <c r="C51" s="22" t="s">
        <v>473</v>
      </c>
      <c r="D51" s="22" t="s">
        <v>459</v>
      </c>
      <c r="E51" s="22">
        <v>11402</v>
      </c>
      <c r="F51" s="63" t="s">
        <v>137</v>
      </c>
      <c r="G51" s="34">
        <v>6</v>
      </c>
      <c r="H51" s="64">
        <v>7.85</v>
      </c>
      <c r="I51" s="67">
        <v>0.04</v>
      </c>
      <c r="J51" s="34">
        <v>1</v>
      </c>
      <c r="K51" s="66">
        <v>0.16666666666666666</v>
      </c>
    </row>
    <row r="52" spans="2:11" x14ac:dyDescent="0.35">
      <c r="B52" s="22">
        <v>115</v>
      </c>
      <c r="C52" s="22" t="s">
        <v>474</v>
      </c>
      <c r="D52" s="22" t="s">
        <v>459</v>
      </c>
      <c r="E52" s="22">
        <v>11501</v>
      </c>
      <c r="F52" s="63" t="s">
        <v>138</v>
      </c>
      <c r="G52" s="34">
        <v>32</v>
      </c>
      <c r="H52" s="64">
        <v>8.09</v>
      </c>
      <c r="I52" s="67">
        <v>0.10099999999999999</v>
      </c>
      <c r="J52" s="34">
        <v>5</v>
      </c>
      <c r="K52" s="66">
        <v>0.15625</v>
      </c>
    </row>
    <row r="53" spans="2:11" x14ac:dyDescent="0.35">
      <c r="B53" s="22">
        <v>115</v>
      </c>
      <c r="C53" s="22" t="s">
        <v>474</v>
      </c>
      <c r="D53" s="22" t="s">
        <v>459</v>
      </c>
      <c r="E53" s="22">
        <v>11502</v>
      </c>
      <c r="F53" s="63" t="s">
        <v>139</v>
      </c>
      <c r="G53" s="34">
        <v>8</v>
      </c>
      <c r="H53" s="64">
        <v>7.57</v>
      </c>
      <c r="I53" s="67">
        <v>4.8000000000000001E-2</v>
      </c>
      <c r="J53" s="34"/>
      <c r="K53" s="22"/>
    </row>
    <row r="54" spans="2:11" x14ac:dyDescent="0.35">
      <c r="B54" s="22">
        <v>115</v>
      </c>
      <c r="C54" s="22" t="s">
        <v>474</v>
      </c>
      <c r="D54" s="22" t="s">
        <v>459</v>
      </c>
      <c r="E54" s="22">
        <v>11503</v>
      </c>
      <c r="F54" s="63" t="s">
        <v>140</v>
      </c>
      <c r="G54" s="34" t="s">
        <v>464</v>
      </c>
      <c r="H54" s="64"/>
      <c r="I54" s="67"/>
      <c r="J54" s="34"/>
      <c r="K54" s="22"/>
    </row>
    <row r="55" spans="2:11" x14ac:dyDescent="0.35">
      <c r="B55" s="22">
        <v>115</v>
      </c>
      <c r="C55" s="22" t="s">
        <v>474</v>
      </c>
      <c r="D55" s="22" t="s">
        <v>459</v>
      </c>
      <c r="E55" s="22">
        <v>11504</v>
      </c>
      <c r="F55" s="63" t="s">
        <v>141</v>
      </c>
      <c r="G55" s="34">
        <v>8</v>
      </c>
      <c r="H55" s="64">
        <v>7.38</v>
      </c>
      <c r="I55" s="67">
        <v>-8.4000000000000005E-2</v>
      </c>
      <c r="J55" s="34"/>
      <c r="K55" s="22"/>
    </row>
    <row r="56" spans="2:11" x14ac:dyDescent="0.35">
      <c r="B56" s="22">
        <v>116</v>
      </c>
      <c r="C56" s="22" t="s">
        <v>475</v>
      </c>
      <c r="D56" s="22" t="s">
        <v>459</v>
      </c>
      <c r="E56" s="22">
        <v>11601</v>
      </c>
      <c r="F56" s="63" t="s">
        <v>142</v>
      </c>
      <c r="G56" s="34">
        <v>25</v>
      </c>
      <c r="H56" s="64">
        <v>7.18</v>
      </c>
      <c r="I56" s="67">
        <v>2.5000000000000001E-2</v>
      </c>
      <c r="J56" s="34"/>
      <c r="K56" s="22"/>
    </row>
    <row r="57" spans="2:11" x14ac:dyDescent="0.35">
      <c r="B57" s="22">
        <v>116</v>
      </c>
      <c r="C57" s="22" t="s">
        <v>475</v>
      </c>
      <c r="D57" s="22" t="s">
        <v>459</v>
      </c>
      <c r="E57" s="22">
        <v>11602</v>
      </c>
      <c r="F57" s="63" t="s">
        <v>143</v>
      </c>
      <c r="G57" s="34">
        <v>21</v>
      </c>
      <c r="H57" s="64">
        <v>7.53</v>
      </c>
      <c r="I57" s="67">
        <v>1.3999999999999999E-2</v>
      </c>
      <c r="J57" s="34"/>
      <c r="K57" s="22"/>
    </row>
    <row r="58" spans="2:11" x14ac:dyDescent="0.35">
      <c r="B58" s="22">
        <v>116</v>
      </c>
      <c r="C58" s="22" t="s">
        <v>475</v>
      </c>
      <c r="D58" s="22" t="s">
        <v>459</v>
      </c>
      <c r="E58" s="22">
        <v>11603</v>
      </c>
      <c r="F58" s="63" t="s">
        <v>144</v>
      </c>
      <c r="G58" s="34">
        <v>12</v>
      </c>
      <c r="H58" s="64">
        <v>6.63</v>
      </c>
      <c r="I58" s="67">
        <v>9.0000000000000011E-3</v>
      </c>
      <c r="J58" s="34"/>
      <c r="K58" s="22"/>
    </row>
    <row r="59" spans="2:11" x14ac:dyDescent="0.35">
      <c r="B59" s="22">
        <v>117</v>
      </c>
      <c r="C59" s="22" t="s">
        <v>476</v>
      </c>
      <c r="D59" s="22" t="s">
        <v>459</v>
      </c>
      <c r="E59" s="22">
        <v>11701</v>
      </c>
      <c r="F59" s="63" t="s">
        <v>145</v>
      </c>
      <c r="G59" s="34">
        <v>8</v>
      </c>
      <c r="H59" s="64">
        <v>7.15</v>
      </c>
      <c r="I59" s="67">
        <v>-6.3E-2</v>
      </c>
      <c r="J59" s="34"/>
      <c r="K59" s="22"/>
    </row>
    <row r="60" spans="2:11" x14ac:dyDescent="0.35">
      <c r="B60" s="22">
        <v>117</v>
      </c>
      <c r="C60" s="22" t="s">
        <v>476</v>
      </c>
      <c r="D60" s="22" t="s">
        <v>459</v>
      </c>
      <c r="E60" s="22">
        <v>11702</v>
      </c>
      <c r="F60" s="63" t="s">
        <v>146</v>
      </c>
      <c r="G60" s="34">
        <v>16</v>
      </c>
      <c r="H60" s="64">
        <v>8.56</v>
      </c>
      <c r="I60" s="67">
        <v>-0.01</v>
      </c>
      <c r="J60" s="34"/>
      <c r="K60" s="22"/>
    </row>
    <row r="61" spans="2:11" x14ac:dyDescent="0.35">
      <c r="B61" s="22">
        <v>117</v>
      </c>
      <c r="C61" s="22" t="s">
        <v>476</v>
      </c>
      <c r="D61" s="22" t="s">
        <v>459</v>
      </c>
      <c r="E61" s="22">
        <v>11703</v>
      </c>
      <c r="F61" s="63" t="s">
        <v>147</v>
      </c>
      <c r="G61" s="34">
        <v>26</v>
      </c>
      <c r="H61" s="64">
        <v>7.65</v>
      </c>
      <c r="I61" s="67">
        <v>-2E-3</v>
      </c>
      <c r="J61" s="34"/>
      <c r="K61" s="22"/>
    </row>
    <row r="62" spans="2:11" x14ac:dyDescent="0.35">
      <c r="B62" s="22">
        <v>118</v>
      </c>
      <c r="C62" s="22" t="s">
        <v>477</v>
      </c>
      <c r="D62" s="22" t="s">
        <v>459</v>
      </c>
      <c r="E62" s="22">
        <v>11801</v>
      </c>
      <c r="F62" s="63" t="s">
        <v>148</v>
      </c>
      <c r="G62" s="34">
        <v>30</v>
      </c>
      <c r="H62" s="64">
        <v>8.09</v>
      </c>
      <c r="I62" s="67">
        <v>-3.6000000000000004E-2</v>
      </c>
      <c r="J62" s="34">
        <v>4</v>
      </c>
      <c r="K62" s="66">
        <v>0.13333333333333333</v>
      </c>
    </row>
    <row r="63" spans="2:11" x14ac:dyDescent="0.35">
      <c r="B63" s="22">
        <v>118</v>
      </c>
      <c r="C63" s="22" t="s">
        <v>477</v>
      </c>
      <c r="D63" s="22" t="s">
        <v>459</v>
      </c>
      <c r="E63" s="22">
        <v>11802</v>
      </c>
      <c r="F63" s="63" t="s">
        <v>149</v>
      </c>
      <c r="G63" s="34">
        <v>30</v>
      </c>
      <c r="H63" s="64">
        <v>7.85</v>
      </c>
      <c r="I63" s="67">
        <v>-2.1000000000000001E-2</v>
      </c>
      <c r="J63" s="34">
        <v>2</v>
      </c>
      <c r="K63" s="66">
        <v>6.6666666666666666E-2</v>
      </c>
    </row>
    <row r="64" spans="2:11" x14ac:dyDescent="0.35">
      <c r="B64" s="22">
        <v>119</v>
      </c>
      <c r="C64" s="22" t="s">
        <v>478</v>
      </c>
      <c r="D64" s="22" t="s">
        <v>459</v>
      </c>
      <c r="E64" s="22">
        <v>11901</v>
      </c>
      <c r="F64" s="63" t="s">
        <v>150</v>
      </c>
      <c r="G64" s="34">
        <v>26</v>
      </c>
      <c r="H64" s="64">
        <v>8.32</v>
      </c>
      <c r="I64" s="67">
        <v>-3.3000000000000002E-2</v>
      </c>
      <c r="J64" s="34">
        <v>4</v>
      </c>
      <c r="K64" s="66">
        <v>0.15384615384615385</v>
      </c>
    </row>
    <row r="65" spans="2:11" x14ac:dyDescent="0.35">
      <c r="B65" s="22">
        <v>119</v>
      </c>
      <c r="C65" s="22" t="s">
        <v>478</v>
      </c>
      <c r="D65" s="22" t="s">
        <v>459</v>
      </c>
      <c r="E65" s="22">
        <v>11902</v>
      </c>
      <c r="F65" s="63" t="s">
        <v>151</v>
      </c>
      <c r="G65" s="34">
        <v>22</v>
      </c>
      <c r="H65" s="64">
        <v>8.0399999999999991</v>
      </c>
      <c r="I65" s="67">
        <v>2.8999999999999998E-2</v>
      </c>
      <c r="J65" s="34">
        <v>1</v>
      </c>
      <c r="K65" s="66">
        <v>4.5454545454545456E-2</v>
      </c>
    </row>
    <row r="66" spans="2:11" x14ac:dyDescent="0.35">
      <c r="B66" s="22">
        <v>119</v>
      </c>
      <c r="C66" s="22" t="s">
        <v>478</v>
      </c>
      <c r="D66" s="22" t="s">
        <v>459</v>
      </c>
      <c r="E66" s="22">
        <v>11903</v>
      </c>
      <c r="F66" s="63" t="s">
        <v>152</v>
      </c>
      <c r="G66" s="34">
        <v>22</v>
      </c>
      <c r="H66" s="64">
        <v>7.88</v>
      </c>
      <c r="I66" s="67">
        <v>3.2000000000000001E-2</v>
      </c>
      <c r="J66" s="34">
        <v>1</v>
      </c>
      <c r="K66" s="66">
        <v>4.5454545454545456E-2</v>
      </c>
    </row>
    <row r="67" spans="2:11" x14ac:dyDescent="0.35">
      <c r="B67" s="22">
        <v>119</v>
      </c>
      <c r="C67" s="22" t="s">
        <v>478</v>
      </c>
      <c r="D67" s="22" t="s">
        <v>459</v>
      </c>
      <c r="E67" s="22">
        <v>11904</v>
      </c>
      <c r="F67" s="63" t="s">
        <v>153</v>
      </c>
      <c r="G67" s="34">
        <v>24</v>
      </c>
      <c r="H67" s="64">
        <v>7.93</v>
      </c>
      <c r="I67" s="67">
        <v>6.0000000000000001E-3</v>
      </c>
      <c r="J67" s="34">
        <v>2</v>
      </c>
      <c r="K67" s="66">
        <v>8.3333333333333329E-2</v>
      </c>
    </row>
    <row r="68" spans="2:11" x14ac:dyDescent="0.35">
      <c r="B68" s="22">
        <v>120</v>
      </c>
      <c r="C68" s="22" t="s">
        <v>479</v>
      </c>
      <c r="D68" s="22" t="s">
        <v>459</v>
      </c>
      <c r="E68" s="22">
        <v>12001</v>
      </c>
      <c r="F68" s="63" t="s">
        <v>154</v>
      </c>
      <c r="G68" s="34">
        <v>15</v>
      </c>
      <c r="H68" s="64">
        <v>7.77</v>
      </c>
      <c r="I68" s="67">
        <v>-1.7000000000000001E-2</v>
      </c>
      <c r="J68" s="34">
        <v>2</v>
      </c>
      <c r="K68" s="66">
        <v>0.13333333333333333</v>
      </c>
    </row>
    <row r="69" spans="2:11" x14ac:dyDescent="0.35">
      <c r="B69" s="22">
        <v>120</v>
      </c>
      <c r="C69" s="22" t="s">
        <v>479</v>
      </c>
      <c r="D69" s="22" t="s">
        <v>459</v>
      </c>
      <c r="E69" s="22">
        <v>12002</v>
      </c>
      <c r="F69" s="63" t="s">
        <v>155</v>
      </c>
      <c r="G69" s="34">
        <v>17</v>
      </c>
      <c r="H69" s="64">
        <v>7.73</v>
      </c>
      <c r="I69" s="67">
        <v>-5.7000000000000002E-2</v>
      </c>
      <c r="J69" s="34"/>
      <c r="K69" s="22"/>
    </row>
    <row r="70" spans="2:11" x14ac:dyDescent="0.35">
      <c r="B70" s="22">
        <v>120</v>
      </c>
      <c r="C70" s="22" t="s">
        <v>479</v>
      </c>
      <c r="D70" s="22" t="s">
        <v>459</v>
      </c>
      <c r="E70" s="22">
        <v>12003</v>
      </c>
      <c r="F70" s="63" t="s">
        <v>156</v>
      </c>
      <c r="G70" s="34">
        <v>35</v>
      </c>
      <c r="H70" s="64">
        <v>8.2799999999999994</v>
      </c>
      <c r="I70" s="67">
        <v>2.5000000000000001E-2</v>
      </c>
      <c r="J70" s="34">
        <v>3</v>
      </c>
      <c r="K70" s="66">
        <v>8.5714285714285715E-2</v>
      </c>
    </row>
    <row r="71" spans="2:11" x14ac:dyDescent="0.35">
      <c r="B71" s="22">
        <v>121</v>
      </c>
      <c r="C71" s="22" t="s">
        <v>480</v>
      </c>
      <c r="D71" s="22" t="s">
        <v>459</v>
      </c>
      <c r="E71" s="22">
        <v>12101</v>
      </c>
      <c r="F71" s="63" t="s">
        <v>157</v>
      </c>
      <c r="G71" s="34">
        <v>24</v>
      </c>
      <c r="H71" s="64">
        <v>8.1199999999999992</v>
      </c>
      <c r="I71" s="67">
        <v>-8.0000000000000002E-3</v>
      </c>
      <c r="J71" s="34">
        <v>2</v>
      </c>
      <c r="K71" s="66">
        <v>8.3333333333333329E-2</v>
      </c>
    </row>
    <row r="72" spans="2:11" x14ac:dyDescent="0.35">
      <c r="B72" s="22">
        <v>121</v>
      </c>
      <c r="C72" s="22" t="s">
        <v>480</v>
      </c>
      <c r="D72" s="22" t="s">
        <v>459</v>
      </c>
      <c r="E72" s="22">
        <v>12102</v>
      </c>
      <c r="F72" s="63" t="s">
        <v>158</v>
      </c>
      <c r="G72" s="34">
        <v>17</v>
      </c>
      <c r="H72" s="64">
        <v>6.31</v>
      </c>
      <c r="I72" s="67">
        <v>-3.7000000000000005E-2</v>
      </c>
      <c r="J72" s="34"/>
      <c r="K72" s="22"/>
    </row>
    <row r="73" spans="2:11" x14ac:dyDescent="0.35">
      <c r="B73" s="22">
        <v>121</v>
      </c>
      <c r="C73" s="22" t="s">
        <v>480</v>
      </c>
      <c r="D73" s="22" t="s">
        <v>459</v>
      </c>
      <c r="E73" s="22">
        <v>12103</v>
      </c>
      <c r="F73" s="63" t="s">
        <v>159</v>
      </c>
      <c r="G73" s="34">
        <v>38</v>
      </c>
      <c r="H73" s="64">
        <v>7.85</v>
      </c>
      <c r="I73" s="67">
        <v>-6.9000000000000006E-2</v>
      </c>
      <c r="J73" s="34">
        <v>4</v>
      </c>
      <c r="K73" s="66">
        <v>0.10526315789473684</v>
      </c>
    </row>
    <row r="74" spans="2:11" x14ac:dyDescent="0.35">
      <c r="B74" s="22">
        <v>121</v>
      </c>
      <c r="C74" s="22" t="s">
        <v>480</v>
      </c>
      <c r="D74" s="22" t="s">
        <v>459</v>
      </c>
      <c r="E74" s="22">
        <v>12104</v>
      </c>
      <c r="F74" s="63" t="s">
        <v>160</v>
      </c>
      <c r="G74" s="34">
        <v>21</v>
      </c>
      <c r="H74" s="64">
        <v>9.81</v>
      </c>
      <c r="I74" s="67">
        <v>-0.04</v>
      </c>
      <c r="J74" s="34">
        <v>9</v>
      </c>
      <c r="K74" s="66">
        <v>0.42857142857142855</v>
      </c>
    </row>
    <row r="75" spans="2:11" x14ac:dyDescent="0.35">
      <c r="B75" s="22">
        <v>122</v>
      </c>
      <c r="C75" s="22" t="s">
        <v>481</v>
      </c>
      <c r="D75" s="22" t="s">
        <v>459</v>
      </c>
      <c r="E75" s="22">
        <v>12201</v>
      </c>
      <c r="F75" s="63" t="s">
        <v>161</v>
      </c>
      <c r="G75" s="34">
        <v>8</v>
      </c>
      <c r="H75" s="64">
        <v>9.09</v>
      </c>
      <c r="I75" s="67">
        <v>0.09</v>
      </c>
      <c r="J75" s="34">
        <v>2</v>
      </c>
      <c r="K75" s="66">
        <v>0.25</v>
      </c>
    </row>
    <row r="76" spans="2:11" x14ac:dyDescent="0.35">
      <c r="B76" s="22">
        <v>122</v>
      </c>
      <c r="C76" s="22" t="s">
        <v>481</v>
      </c>
      <c r="D76" s="22" t="s">
        <v>459</v>
      </c>
      <c r="E76" s="22">
        <v>12202</v>
      </c>
      <c r="F76" s="63" t="s">
        <v>162</v>
      </c>
      <c r="G76" s="34">
        <v>12</v>
      </c>
      <c r="H76" s="64">
        <v>7.58</v>
      </c>
      <c r="I76" s="67">
        <v>-5.7999999999999996E-2</v>
      </c>
      <c r="J76" s="34"/>
      <c r="K76" s="22"/>
    </row>
    <row r="77" spans="2:11" x14ac:dyDescent="0.35">
      <c r="B77" s="22">
        <v>122</v>
      </c>
      <c r="C77" s="22" t="s">
        <v>481</v>
      </c>
      <c r="D77" s="22" t="s">
        <v>459</v>
      </c>
      <c r="E77" s="22">
        <v>12203</v>
      </c>
      <c r="F77" s="63" t="s">
        <v>163</v>
      </c>
      <c r="G77" s="34">
        <v>40</v>
      </c>
      <c r="H77" s="64">
        <v>8.02</v>
      </c>
      <c r="I77" s="67">
        <v>5.4000000000000006E-2</v>
      </c>
      <c r="J77" s="34">
        <v>4</v>
      </c>
      <c r="K77" s="66">
        <v>0.1</v>
      </c>
    </row>
    <row r="78" spans="2:11" x14ac:dyDescent="0.35">
      <c r="B78" s="22">
        <v>123</v>
      </c>
      <c r="C78" s="22" t="s">
        <v>482</v>
      </c>
      <c r="D78" s="22" t="s">
        <v>459</v>
      </c>
      <c r="E78" s="22">
        <v>12301</v>
      </c>
      <c r="F78" s="63" t="s">
        <v>164</v>
      </c>
      <c r="G78" s="34">
        <v>14</v>
      </c>
      <c r="H78" s="64">
        <v>7.6</v>
      </c>
      <c r="I78" s="67">
        <v>-9.0000000000000011E-3</v>
      </c>
      <c r="J78" s="34"/>
      <c r="K78" s="22"/>
    </row>
    <row r="79" spans="2:11" x14ac:dyDescent="0.35">
      <c r="B79" s="22">
        <v>123</v>
      </c>
      <c r="C79" s="22" t="s">
        <v>482</v>
      </c>
      <c r="D79" s="22" t="s">
        <v>459</v>
      </c>
      <c r="E79" s="22">
        <v>12302</v>
      </c>
      <c r="F79" s="63" t="s">
        <v>165</v>
      </c>
      <c r="G79" s="34">
        <v>26</v>
      </c>
      <c r="H79" s="64">
        <v>7.6</v>
      </c>
      <c r="I79" s="67">
        <v>-0.02</v>
      </c>
      <c r="J79" s="34">
        <v>2</v>
      </c>
      <c r="K79" s="66">
        <v>7.6923076923076927E-2</v>
      </c>
    </row>
    <row r="80" spans="2:11" x14ac:dyDescent="0.35">
      <c r="B80" s="22">
        <v>123</v>
      </c>
      <c r="C80" s="22" t="s">
        <v>482</v>
      </c>
      <c r="D80" s="22" t="s">
        <v>459</v>
      </c>
      <c r="E80" s="22">
        <v>12303</v>
      </c>
      <c r="F80" s="63" t="s">
        <v>166</v>
      </c>
      <c r="G80" s="34">
        <v>8</v>
      </c>
      <c r="H80" s="64">
        <v>6.99</v>
      </c>
      <c r="I80" s="67">
        <v>6.9000000000000006E-2</v>
      </c>
      <c r="J80" s="34"/>
      <c r="K80" s="22"/>
    </row>
    <row r="81" spans="2:11" x14ac:dyDescent="0.35">
      <c r="B81" s="22">
        <v>124</v>
      </c>
      <c r="C81" s="22" t="s">
        <v>483</v>
      </c>
      <c r="D81" s="22" t="s">
        <v>459</v>
      </c>
      <c r="E81" s="22">
        <v>12401</v>
      </c>
      <c r="F81" s="63" t="s">
        <v>167</v>
      </c>
      <c r="G81" s="34">
        <v>19</v>
      </c>
      <c r="H81" s="64">
        <v>7.46</v>
      </c>
      <c r="I81" s="67">
        <v>-4.2999999999999997E-2</v>
      </c>
      <c r="J81" s="34"/>
      <c r="K81" s="22"/>
    </row>
    <row r="82" spans="2:11" x14ac:dyDescent="0.35">
      <c r="B82" s="22">
        <v>124</v>
      </c>
      <c r="C82" s="22" t="s">
        <v>483</v>
      </c>
      <c r="D82" s="22" t="s">
        <v>459</v>
      </c>
      <c r="E82" s="22">
        <v>12403</v>
      </c>
      <c r="F82" s="63" t="s">
        <v>168</v>
      </c>
      <c r="G82" s="34">
        <v>32</v>
      </c>
      <c r="H82" s="64">
        <v>7.24</v>
      </c>
      <c r="I82" s="67">
        <v>2.7000000000000003E-2</v>
      </c>
      <c r="J82" s="34">
        <v>2</v>
      </c>
      <c r="K82" s="66">
        <v>6.25E-2</v>
      </c>
    </row>
    <row r="83" spans="2:11" x14ac:dyDescent="0.35">
      <c r="B83" s="22">
        <v>124</v>
      </c>
      <c r="C83" s="22" t="s">
        <v>483</v>
      </c>
      <c r="D83" s="22" t="s">
        <v>459</v>
      </c>
      <c r="E83" s="22">
        <v>12404</v>
      </c>
      <c r="F83" s="63" t="s">
        <v>169</v>
      </c>
      <c r="G83" s="34">
        <v>7</v>
      </c>
      <c r="H83" s="64">
        <v>7.92</v>
      </c>
      <c r="I83" s="67">
        <v>-7.0000000000000007E-2</v>
      </c>
      <c r="J83" s="34"/>
      <c r="K83" s="22"/>
    </row>
    <row r="84" spans="2:11" x14ac:dyDescent="0.35">
      <c r="B84" s="22">
        <v>124</v>
      </c>
      <c r="C84" s="22" t="s">
        <v>483</v>
      </c>
      <c r="D84" s="22" t="s">
        <v>459</v>
      </c>
      <c r="E84" s="22">
        <v>12405</v>
      </c>
      <c r="F84" s="63" t="s">
        <v>170</v>
      </c>
      <c r="G84" s="34">
        <v>8</v>
      </c>
      <c r="H84" s="64">
        <v>7.1</v>
      </c>
      <c r="I84" s="67">
        <v>1.9E-2</v>
      </c>
      <c r="J84" s="34"/>
      <c r="K84" s="22"/>
    </row>
    <row r="85" spans="2:11" x14ac:dyDescent="0.35">
      <c r="B85" s="22">
        <v>125</v>
      </c>
      <c r="C85" s="22" t="s">
        <v>484</v>
      </c>
      <c r="D85" s="22" t="s">
        <v>459</v>
      </c>
      <c r="E85" s="22">
        <v>12501</v>
      </c>
      <c r="F85" s="63" t="s">
        <v>171</v>
      </c>
      <c r="G85" s="34">
        <v>9</v>
      </c>
      <c r="H85" s="64">
        <v>8.48</v>
      </c>
      <c r="I85" s="67">
        <v>-6.7000000000000004E-2</v>
      </c>
      <c r="J85" s="34">
        <v>1</v>
      </c>
      <c r="K85" s="66">
        <v>0.1111111111111111</v>
      </c>
    </row>
    <row r="86" spans="2:11" x14ac:dyDescent="0.35">
      <c r="B86" s="22">
        <v>125</v>
      </c>
      <c r="C86" s="22" t="s">
        <v>484</v>
      </c>
      <c r="D86" s="22" t="s">
        <v>459</v>
      </c>
      <c r="E86" s="22">
        <v>12502</v>
      </c>
      <c r="F86" s="63" t="s">
        <v>172</v>
      </c>
      <c r="G86" s="34">
        <v>14</v>
      </c>
      <c r="H86" s="64">
        <v>6.9</v>
      </c>
      <c r="I86" s="67">
        <v>2.6000000000000002E-2</v>
      </c>
      <c r="J86" s="34"/>
      <c r="K86" s="22"/>
    </row>
    <row r="87" spans="2:11" x14ac:dyDescent="0.35">
      <c r="B87" s="22">
        <v>125</v>
      </c>
      <c r="C87" s="22" t="s">
        <v>484</v>
      </c>
      <c r="D87" s="22" t="s">
        <v>459</v>
      </c>
      <c r="E87" s="22">
        <v>12503</v>
      </c>
      <c r="F87" s="63" t="s">
        <v>173</v>
      </c>
      <c r="G87" s="34">
        <v>14</v>
      </c>
      <c r="H87" s="64">
        <v>7.42</v>
      </c>
      <c r="I87" s="67">
        <v>5.7000000000000002E-2</v>
      </c>
      <c r="J87" s="34"/>
      <c r="K87" s="22"/>
    </row>
    <row r="88" spans="2:11" x14ac:dyDescent="0.35">
      <c r="B88" s="22">
        <v>125</v>
      </c>
      <c r="C88" s="22" t="s">
        <v>484</v>
      </c>
      <c r="D88" s="22" t="s">
        <v>459</v>
      </c>
      <c r="E88" s="22">
        <v>12504</v>
      </c>
      <c r="F88" s="63" t="s">
        <v>174</v>
      </c>
      <c r="G88" s="34">
        <v>32</v>
      </c>
      <c r="H88" s="64">
        <v>7.55</v>
      </c>
      <c r="I88" s="67">
        <v>-6.9999999999999993E-3</v>
      </c>
      <c r="J88" s="34">
        <v>3</v>
      </c>
      <c r="K88" s="66">
        <v>9.375E-2</v>
      </c>
    </row>
    <row r="89" spans="2:11" x14ac:dyDescent="0.35">
      <c r="B89" s="22">
        <v>126</v>
      </c>
      <c r="C89" s="22" t="s">
        <v>485</v>
      </c>
      <c r="D89" s="22" t="s">
        <v>459</v>
      </c>
      <c r="E89" s="22">
        <v>12601</v>
      </c>
      <c r="F89" s="63" t="s">
        <v>175</v>
      </c>
      <c r="G89" s="34">
        <v>13</v>
      </c>
      <c r="H89" s="64">
        <v>7.4</v>
      </c>
      <c r="I89" s="67">
        <v>2.7000000000000003E-2</v>
      </c>
      <c r="J89" s="34">
        <v>1</v>
      </c>
      <c r="K89" s="66">
        <v>7.6923076923076927E-2</v>
      </c>
    </row>
    <row r="90" spans="2:11" x14ac:dyDescent="0.35">
      <c r="B90" s="22">
        <v>126</v>
      </c>
      <c r="C90" s="22" t="s">
        <v>485</v>
      </c>
      <c r="D90" s="22" t="s">
        <v>459</v>
      </c>
      <c r="E90" s="22">
        <v>12602</v>
      </c>
      <c r="F90" s="63" t="s">
        <v>176</v>
      </c>
      <c r="G90" s="34">
        <v>29</v>
      </c>
      <c r="H90" s="64">
        <v>7.48</v>
      </c>
      <c r="I90" s="67">
        <v>5.5999999999999994E-2</v>
      </c>
      <c r="J90" s="34">
        <v>3</v>
      </c>
      <c r="K90" s="66">
        <v>0.10344827586206896</v>
      </c>
    </row>
    <row r="91" spans="2:11" x14ac:dyDescent="0.35">
      <c r="B91" s="22">
        <v>127</v>
      </c>
      <c r="C91" s="22" t="s">
        <v>486</v>
      </c>
      <c r="D91" s="22" t="s">
        <v>459</v>
      </c>
      <c r="E91" s="22">
        <v>12701</v>
      </c>
      <c r="F91" s="63" t="s">
        <v>177</v>
      </c>
      <c r="G91" s="34">
        <v>16</v>
      </c>
      <c r="H91" s="64">
        <v>8.1300000000000008</v>
      </c>
      <c r="I91" s="67">
        <v>-8.0000000000000002E-3</v>
      </c>
      <c r="J91" s="34"/>
      <c r="K91" s="22"/>
    </row>
    <row r="92" spans="2:11" x14ac:dyDescent="0.35">
      <c r="B92" s="22">
        <v>127</v>
      </c>
      <c r="C92" s="22" t="s">
        <v>486</v>
      </c>
      <c r="D92" s="22" t="s">
        <v>459</v>
      </c>
      <c r="E92" s="22">
        <v>12702</v>
      </c>
      <c r="F92" s="63" t="s">
        <v>178</v>
      </c>
      <c r="G92" s="34">
        <v>19</v>
      </c>
      <c r="H92" s="64">
        <v>7.99</v>
      </c>
      <c r="I92" s="67">
        <v>3.2000000000000001E-2</v>
      </c>
      <c r="J92" s="34"/>
      <c r="K92" s="22"/>
    </row>
    <row r="93" spans="2:11" x14ac:dyDescent="0.35">
      <c r="B93" s="22">
        <v>127</v>
      </c>
      <c r="C93" s="22" t="s">
        <v>486</v>
      </c>
      <c r="D93" s="22" t="s">
        <v>459</v>
      </c>
      <c r="E93" s="22">
        <v>12703</v>
      </c>
      <c r="F93" s="63" t="s">
        <v>179</v>
      </c>
      <c r="G93" s="34">
        <v>18</v>
      </c>
      <c r="H93" s="64">
        <v>8.18</v>
      </c>
      <c r="I93" s="67">
        <v>5.2999999999999999E-2</v>
      </c>
      <c r="J93" s="34">
        <v>1</v>
      </c>
      <c r="K93" s="66">
        <v>5.5555555555555552E-2</v>
      </c>
    </row>
    <row r="94" spans="2:11" x14ac:dyDescent="0.35">
      <c r="B94" s="22">
        <v>128</v>
      </c>
      <c r="C94" s="22" t="s">
        <v>487</v>
      </c>
      <c r="D94" s="22" t="s">
        <v>459</v>
      </c>
      <c r="E94" s="22">
        <v>12801</v>
      </c>
      <c r="F94" s="63" t="s">
        <v>180</v>
      </c>
      <c r="G94" s="34">
        <v>22</v>
      </c>
      <c r="H94" s="64">
        <v>7.11</v>
      </c>
      <c r="I94" s="67">
        <v>6.9999999999999993E-3</v>
      </c>
      <c r="J94" s="34">
        <v>1</v>
      </c>
      <c r="K94" s="66">
        <v>4.5454545454545456E-2</v>
      </c>
    </row>
    <row r="95" spans="2:11" x14ac:dyDescent="0.35">
      <c r="B95" s="22">
        <v>128</v>
      </c>
      <c r="C95" s="22" t="s">
        <v>487</v>
      </c>
      <c r="D95" s="22" t="s">
        <v>459</v>
      </c>
      <c r="E95" s="22">
        <v>12802</v>
      </c>
      <c r="F95" s="63" t="s">
        <v>181</v>
      </c>
      <c r="G95" s="34">
        <v>32</v>
      </c>
      <c r="H95" s="64">
        <v>6.82</v>
      </c>
      <c r="I95" s="67">
        <v>-5.5999999999999994E-2</v>
      </c>
      <c r="J95" s="34"/>
      <c r="K95" s="22"/>
    </row>
    <row r="96" spans="2:11" x14ac:dyDescent="0.35">
      <c r="B96" s="22">
        <v>201</v>
      </c>
      <c r="C96" s="22" t="s">
        <v>182</v>
      </c>
      <c r="D96" s="22" t="s">
        <v>488</v>
      </c>
      <c r="E96" s="22">
        <v>20101</v>
      </c>
      <c r="F96" s="63" t="s">
        <v>182</v>
      </c>
      <c r="G96" s="34">
        <v>16</v>
      </c>
      <c r="H96" s="64">
        <v>10.06</v>
      </c>
      <c r="I96" s="67">
        <v>4.4999999999999998E-2</v>
      </c>
      <c r="J96" s="34">
        <v>8</v>
      </c>
      <c r="K96" s="66">
        <v>0.5</v>
      </c>
    </row>
    <row r="97" spans="2:11" x14ac:dyDescent="0.35">
      <c r="B97" s="22">
        <v>201</v>
      </c>
      <c r="C97" s="22" t="s">
        <v>182</v>
      </c>
      <c r="D97" s="22" t="s">
        <v>488</v>
      </c>
      <c r="E97" s="22">
        <v>20102</v>
      </c>
      <c r="F97" s="63" t="s">
        <v>183</v>
      </c>
      <c r="G97" s="34" t="s">
        <v>464</v>
      </c>
      <c r="H97" s="64"/>
      <c r="I97" s="67"/>
      <c r="J97" s="34"/>
      <c r="K97" s="22"/>
    </row>
    <row r="98" spans="2:11" x14ac:dyDescent="0.35">
      <c r="B98" s="22">
        <v>201</v>
      </c>
      <c r="C98" s="22" t="s">
        <v>182</v>
      </c>
      <c r="D98" s="22" t="s">
        <v>488</v>
      </c>
      <c r="E98" s="22">
        <v>20103</v>
      </c>
      <c r="F98" s="63" t="s">
        <v>184</v>
      </c>
      <c r="G98" s="34"/>
      <c r="H98" s="64"/>
      <c r="I98" s="67">
        <v>0</v>
      </c>
      <c r="J98" s="34"/>
      <c r="K98" s="22"/>
    </row>
    <row r="99" spans="2:11" x14ac:dyDescent="0.35">
      <c r="B99" s="22">
        <v>202</v>
      </c>
      <c r="C99" s="22" t="s">
        <v>185</v>
      </c>
      <c r="D99" s="22" t="s">
        <v>488</v>
      </c>
      <c r="E99" s="22">
        <v>20201</v>
      </c>
      <c r="F99" s="63" t="s">
        <v>185</v>
      </c>
      <c r="G99" s="34">
        <v>28</v>
      </c>
      <c r="H99" s="64">
        <v>8.7100000000000009</v>
      </c>
      <c r="I99" s="67">
        <v>2E-3</v>
      </c>
      <c r="J99" s="34">
        <v>7</v>
      </c>
      <c r="K99" s="66">
        <v>0.25</v>
      </c>
    </row>
    <row r="100" spans="2:11" x14ac:dyDescent="0.35">
      <c r="B100" s="22">
        <v>202</v>
      </c>
      <c r="C100" s="22" t="s">
        <v>185</v>
      </c>
      <c r="D100" s="22" t="s">
        <v>488</v>
      </c>
      <c r="E100" s="22">
        <v>20202</v>
      </c>
      <c r="F100" s="63" t="s">
        <v>186</v>
      </c>
      <c r="G100" s="34">
        <v>11</v>
      </c>
      <c r="H100" s="64">
        <v>8.08</v>
      </c>
      <c r="I100" s="67">
        <v>-4.8000000000000001E-2</v>
      </c>
      <c r="J100" s="34">
        <v>1</v>
      </c>
      <c r="K100" s="66">
        <v>9.0909090909090912E-2</v>
      </c>
    </row>
    <row r="101" spans="2:11" x14ac:dyDescent="0.35">
      <c r="B101" s="22">
        <v>203</v>
      </c>
      <c r="C101" s="22" t="s">
        <v>188</v>
      </c>
      <c r="D101" s="22" t="s">
        <v>488</v>
      </c>
      <c r="E101" s="22">
        <v>20301</v>
      </c>
      <c r="F101" s="63" t="s">
        <v>187</v>
      </c>
      <c r="G101" s="34">
        <v>7</v>
      </c>
      <c r="H101" s="64">
        <v>7.73</v>
      </c>
      <c r="I101" s="67">
        <v>0.10800000000000001</v>
      </c>
      <c r="J101" s="34">
        <v>2</v>
      </c>
      <c r="K101" s="66">
        <v>0.2857142857142857</v>
      </c>
    </row>
    <row r="102" spans="2:11" x14ac:dyDescent="0.35">
      <c r="B102" s="22">
        <v>203</v>
      </c>
      <c r="C102" s="22" t="s">
        <v>188</v>
      </c>
      <c r="D102" s="22" t="s">
        <v>488</v>
      </c>
      <c r="E102" s="22">
        <v>20302</v>
      </c>
      <c r="F102" s="63" t="s">
        <v>188</v>
      </c>
      <c r="G102" s="34">
        <v>48</v>
      </c>
      <c r="H102" s="64">
        <v>8.98</v>
      </c>
      <c r="I102" s="67">
        <v>-4.0000000000000001E-3</v>
      </c>
      <c r="J102" s="34">
        <v>16</v>
      </c>
      <c r="K102" s="66">
        <v>0.33333333333333331</v>
      </c>
    </row>
    <row r="103" spans="2:11" x14ac:dyDescent="0.35">
      <c r="B103" s="22">
        <v>203</v>
      </c>
      <c r="C103" s="22" t="s">
        <v>188</v>
      </c>
      <c r="D103" s="22" t="s">
        <v>488</v>
      </c>
      <c r="E103" s="22">
        <v>20303</v>
      </c>
      <c r="F103" s="63" t="s">
        <v>189</v>
      </c>
      <c r="G103" s="34">
        <v>19</v>
      </c>
      <c r="H103" s="64">
        <v>9.91</v>
      </c>
      <c r="I103" s="67">
        <v>9.4E-2</v>
      </c>
      <c r="J103" s="34">
        <v>8</v>
      </c>
      <c r="K103" s="66">
        <v>0.42105263157894735</v>
      </c>
    </row>
    <row r="104" spans="2:11" x14ac:dyDescent="0.35">
      <c r="B104" s="22">
        <v>204</v>
      </c>
      <c r="C104" s="22" t="s">
        <v>489</v>
      </c>
      <c r="D104" s="22" t="s">
        <v>488</v>
      </c>
      <c r="E104" s="22">
        <v>20401</v>
      </c>
      <c r="F104" s="63" t="s">
        <v>190</v>
      </c>
      <c r="G104" s="34">
        <v>6</v>
      </c>
      <c r="H104" s="64">
        <v>7.33</v>
      </c>
      <c r="I104" s="67"/>
      <c r="J104" s="34"/>
      <c r="K104" s="22"/>
    </row>
    <row r="105" spans="2:11" x14ac:dyDescent="0.35">
      <c r="B105" s="22">
        <v>204</v>
      </c>
      <c r="C105" s="22" t="s">
        <v>489</v>
      </c>
      <c r="D105" s="22" t="s">
        <v>488</v>
      </c>
      <c r="E105" s="22">
        <v>20402</v>
      </c>
      <c r="F105" s="63" t="s">
        <v>191</v>
      </c>
      <c r="G105" s="34">
        <v>18</v>
      </c>
      <c r="H105" s="64">
        <v>6.31</v>
      </c>
      <c r="I105" s="67">
        <v>4.7E-2</v>
      </c>
      <c r="J105" s="34">
        <v>1</v>
      </c>
      <c r="K105" s="66">
        <v>5.5555555555555552E-2</v>
      </c>
    </row>
    <row r="106" spans="2:11" x14ac:dyDescent="0.35">
      <c r="B106" s="22">
        <v>204</v>
      </c>
      <c r="C106" s="22" t="s">
        <v>489</v>
      </c>
      <c r="D106" s="22" t="s">
        <v>488</v>
      </c>
      <c r="E106" s="22">
        <v>20403</v>
      </c>
      <c r="F106" s="63" t="s">
        <v>192</v>
      </c>
      <c r="G106" s="34">
        <v>25</v>
      </c>
      <c r="H106" s="64">
        <v>6.93</v>
      </c>
      <c r="I106" s="67">
        <v>0.13200000000000001</v>
      </c>
      <c r="J106" s="34">
        <v>4</v>
      </c>
      <c r="K106" s="66">
        <v>0.16</v>
      </c>
    </row>
    <row r="107" spans="2:11" x14ac:dyDescent="0.35">
      <c r="B107" s="22">
        <v>205</v>
      </c>
      <c r="C107" s="22" t="s">
        <v>490</v>
      </c>
      <c r="D107" s="22" t="s">
        <v>488</v>
      </c>
      <c r="E107" s="22">
        <v>20501</v>
      </c>
      <c r="F107" s="63" t="s">
        <v>193</v>
      </c>
      <c r="G107" s="34">
        <v>14</v>
      </c>
      <c r="H107" s="64">
        <v>7.94</v>
      </c>
      <c r="I107" s="67">
        <v>5.4000000000000006E-2</v>
      </c>
      <c r="J107" s="34">
        <v>3</v>
      </c>
      <c r="K107" s="66">
        <v>0.21428571428571427</v>
      </c>
    </row>
    <row r="108" spans="2:11" x14ac:dyDescent="0.35">
      <c r="B108" s="22">
        <v>205</v>
      </c>
      <c r="C108" s="22" t="s">
        <v>490</v>
      </c>
      <c r="D108" s="22" t="s">
        <v>488</v>
      </c>
      <c r="E108" s="22">
        <v>20502</v>
      </c>
      <c r="F108" s="63" t="s">
        <v>194</v>
      </c>
      <c r="G108" s="34" t="s">
        <v>464</v>
      </c>
      <c r="H108" s="64"/>
      <c r="I108" s="67"/>
      <c r="J108" s="34"/>
      <c r="K108" s="22"/>
    </row>
    <row r="109" spans="2:11" x14ac:dyDescent="0.35">
      <c r="B109" s="22">
        <v>205</v>
      </c>
      <c r="C109" s="22" t="s">
        <v>490</v>
      </c>
      <c r="D109" s="22" t="s">
        <v>488</v>
      </c>
      <c r="E109" s="22">
        <v>20503</v>
      </c>
      <c r="F109" s="63" t="s">
        <v>195</v>
      </c>
      <c r="G109" s="34">
        <v>6</v>
      </c>
      <c r="H109" s="64">
        <v>8.8800000000000008</v>
      </c>
      <c r="I109" s="67">
        <v>3.7999999999999999E-2</v>
      </c>
      <c r="J109" s="34">
        <v>1</v>
      </c>
      <c r="K109" s="66">
        <v>0.16666666666666666</v>
      </c>
    </row>
    <row r="110" spans="2:11" x14ac:dyDescent="0.35">
      <c r="B110" s="22">
        <v>205</v>
      </c>
      <c r="C110" s="22" t="s">
        <v>490</v>
      </c>
      <c r="D110" s="22" t="s">
        <v>488</v>
      </c>
      <c r="E110" s="22">
        <v>20504</v>
      </c>
      <c r="F110" s="63" t="s">
        <v>196</v>
      </c>
      <c r="G110" s="34">
        <v>9</v>
      </c>
      <c r="H110" s="64">
        <v>8.89</v>
      </c>
      <c r="I110" s="67">
        <v>-6.9999999999999993E-3</v>
      </c>
      <c r="J110" s="34">
        <v>3</v>
      </c>
      <c r="K110" s="66">
        <v>0.33333333333333331</v>
      </c>
    </row>
    <row r="111" spans="2:11" x14ac:dyDescent="0.35">
      <c r="B111" s="22">
        <v>205</v>
      </c>
      <c r="C111" s="22" t="s">
        <v>490</v>
      </c>
      <c r="D111" s="22" t="s">
        <v>488</v>
      </c>
      <c r="E111" s="22">
        <v>20505</v>
      </c>
      <c r="F111" s="63" t="s">
        <v>197</v>
      </c>
      <c r="G111" s="34">
        <v>5</v>
      </c>
      <c r="H111" s="64">
        <v>8.85</v>
      </c>
      <c r="I111" s="67"/>
      <c r="J111" s="34">
        <v>1</v>
      </c>
      <c r="K111" s="66">
        <v>0.2</v>
      </c>
    </row>
    <row r="112" spans="2:11" x14ac:dyDescent="0.35">
      <c r="B112" s="22">
        <v>206</v>
      </c>
      <c r="C112" s="22" t="s">
        <v>491</v>
      </c>
      <c r="D112" s="22" t="s">
        <v>488</v>
      </c>
      <c r="E112" s="22">
        <v>20601</v>
      </c>
      <c r="F112" s="63" t="s">
        <v>198</v>
      </c>
      <c r="G112" s="34">
        <v>19</v>
      </c>
      <c r="H112" s="64">
        <v>9.4600000000000009</v>
      </c>
      <c r="I112" s="67">
        <v>-3.5000000000000003E-2</v>
      </c>
      <c r="J112" s="34">
        <v>7</v>
      </c>
      <c r="K112" s="66">
        <v>0.36842105263157893</v>
      </c>
    </row>
    <row r="113" spans="2:11" x14ac:dyDescent="0.35">
      <c r="B113" s="22">
        <v>206</v>
      </c>
      <c r="C113" s="22" t="s">
        <v>491</v>
      </c>
      <c r="D113" s="22" t="s">
        <v>488</v>
      </c>
      <c r="E113" s="22">
        <v>20602</v>
      </c>
      <c r="F113" s="63" t="s">
        <v>199</v>
      </c>
      <c r="G113" s="34">
        <v>10</v>
      </c>
      <c r="H113" s="64">
        <v>8.66</v>
      </c>
      <c r="I113" s="67">
        <v>-4.0999999999999995E-2</v>
      </c>
      <c r="J113" s="34">
        <v>4</v>
      </c>
      <c r="K113" s="66">
        <v>0.4</v>
      </c>
    </row>
    <row r="114" spans="2:11" x14ac:dyDescent="0.35">
      <c r="B114" s="22">
        <v>206</v>
      </c>
      <c r="C114" s="22" t="s">
        <v>491</v>
      </c>
      <c r="D114" s="22" t="s">
        <v>488</v>
      </c>
      <c r="E114" s="22">
        <v>20603</v>
      </c>
      <c r="F114" s="63" t="s">
        <v>200</v>
      </c>
      <c r="G114" s="34">
        <v>13</v>
      </c>
      <c r="H114" s="64">
        <v>10.1</v>
      </c>
      <c r="I114" s="67">
        <v>-3.3000000000000002E-2</v>
      </c>
      <c r="J114" s="34">
        <v>6</v>
      </c>
      <c r="K114" s="66">
        <v>0.46153846153846156</v>
      </c>
    </row>
    <row r="115" spans="2:11" x14ac:dyDescent="0.35">
      <c r="B115" s="22">
        <v>206</v>
      </c>
      <c r="C115" s="22" t="s">
        <v>491</v>
      </c>
      <c r="D115" s="22" t="s">
        <v>488</v>
      </c>
      <c r="E115" s="22">
        <v>20604</v>
      </c>
      <c r="F115" s="63" t="s">
        <v>201</v>
      </c>
      <c r="G115" s="34">
        <v>17</v>
      </c>
      <c r="H115" s="64">
        <v>8.8000000000000007</v>
      </c>
      <c r="I115" s="67">
        <v>-1.9E-2</v>
      </c>
      <c r="J115" s="34">
        <v>2</v>
      </c>
      <c r="K115" s="66">
        <v>0.11764705882352941</v>
      </c>
    </row>
    <row r="116" spans="2:11" x14ac:dyDescent="0.35">
      <c r="B116" s="22">
        <v>206</v>
      </c>
      <c r="C116" s="22" t="s">
        <v>491</v>
      </c>
      <c r="D116" s="22" t="s">
        <v>488</v>
      </c>
      <c r="E116" s="22">
        <v>20605</v>
      </c>
      <c r="F116" s="63" t="s">
        <v>202</v>
      </c>
      <c r="G116" s="34">
        <v>13</v>
      </c>
      <c r="H116" s="64">
        <v>9.8000000000000007</v>
      </c>
      <c r="I116" s="67">
        <v>-9.8000000000000004E-2</v>
      </c>
      <c r="J116" s="34">
        <v>6</v>
      </c>
      <c r="K116" s="66">
        <v>0.46153846153846156</v>
      </c>
    </row>
    <row r="117" spans="2:11" x14ac:dyDescent="0.35">
      <c r="B117" s="22">
        <v>206</v>
      </c>
      <c r="C117" s="22" t="s">
        <v>491</v>
      </c>
      <c r="D117" s="22" t="s">
        <v>488</v>
      </c>
      <c r="E117" s="22">
        <v>20606</v>
      </c>
      <c r="F117" s="63" t="s">
        <v>203</v>
      </c>
      <c r="G117" s="34">
        <v>13</v>
      </c>
      <c r="H117" s="64">
        <v>12.56</v>
      </c>
      <c r="I117" s="67">
        <v>3.3000000000000002E-2</v>
      </c>
      <c r="J117" s="34">
        <v>9</v>
      </c>
      <c r="K117" s="66">
        <v>0.69230769230769229</v>
      </c>
    </row>
    <row r="118" spans="2:11" x14ac:dyDescent="0.35">
      <c r="B118" s="22">
        <v>206</v>
      </c>
      <c r="C118" s="22" t="s">
        <v>491</v>
      </c>
      <c r="D118" s="22" t="s">
        <v>488</v>
      </c>
      <c r="E118" s="22">
        <v>20607</v>
      </c>
      <c r="F118" s="63" t="s">
        <v>204</v>
      </c>
      <c r="G118" s="34">
        <v>30</v>
      </c>
      <c r="H118" s="64">
        <v>10.14</v>
      </c>
      <c r="I118" s="67">
        <v>0.18</v>
      </c>
      <c r="J118" s="34">
        <v>12</v>
      </c>
      <c r="K118" s="66">
        <v>0.4</v>
      </c>
    </row>
    <row r="119" spans="2:11" x14ac:dyDescent="0.35">
      <c r="B119" s="22">
        <v>207</v>
      </c>
      <c r="C119" s="22" t="s">
        <v>492</v>
      </c>
      <c r="D119" s="22" t="s">
        <v>488</v>
      </c>
      <c r="E119" s="22">
        <v>20701</v>
      </c>
      <c r="F119" s="63" t="s">
        <v>205</v>
      </c>
      <c r="G119" s="34">
        <v>50</v>
      </c>
      <c r="H119" s="64">
        <v>10.63</v>
      </c>
      <c r="I119" s="67">
        <v>-8.0000000000000002E-3</v>
      </c>
      <c r="J119" s="34">
        <v>26</v>
      </c>
      <c r="K119" s="66">
        <v>0.52</v>
      </c>
    </row>
    <row r="120" spans="2:11" x14ac:dyDescent="0.35">
      <c r="B120" s="22">
        <v>207</v>
      </c>
      <c r="C120" s="22" t="s">
        <v>492</v>
      </c>
      <c r="D120" s="22" t="s">
        <v>488</v>
      </c>
      <c r="E120" s="22">
        <v>20702</v>
      </c>
      <c r="F120" s="63" t="s">
        <v>206</v>
      </c>
      <c r="G120" s="34">
        <v>19</v>
      </c>
      <c r="H120" s="64">
        <v>10.1</v>
      </c>
      <c r="I120" s="67">
        <v>-1E-3</v>
      </c>
      <c r="J120" s="34">
        <v>10</v>
      </c>
      <c r="K120" s="66">
        <v>0.52631578947368418</v>
      </c>
    </row>
    <row r="121" spans="2:11" x14ac:dyDescent="0.35">
      <c r="B121" s="22">
        <v>207</v>
      </c>
      <c r="C121" s="22" t="s">
        <v>492</v>
      </c>
      <c r="D121" s="22" t="s">
        <v>488</v>
      </c>
      <c r="E121" s="22">
        <v>20703</v>
      </c>
      <c r="F121" s="63" t="s">
        <v>207</v>
      </c>
      <c r="G121" s="34">
        <v>24</v>
      </c>
      <c r="H121" s="64">
        <v>10.41</v>
      </c>
      <c r="I121" s="67">
        <v>-5.0000000000000001E-3</v>
      </c>
      <c r="J121" s="34">
        <v>15</v>
      </c>
      <c r="K121" s="66">
        <v>0.625</v>
      </c>
    </row>
    <row r="122" spans="2:11" x14ac:dyDescent="0.35">
      <c r="B122" s="22">
        <v>208</v>
      </c>
      <c r="C122" s="22" t="s">
        <v>493</v>
      </c>
      <c r="D122" s="22" t="s">
        <v>488</v>
      </c>
      <c r="E122" s="22">
        <v>20801</v>
      </c>
      <c r="F122" s="63" t="s">
        <v>208</v>
      </c>
      <c r="G122" s="34">
        <v>23</v>
      </c>
      <c r="H122" s="64">
        <v>10.14</v>
      </c>
      <c r="I122" s="67">
        <v>-7.6999999999999999E-2</v>
      </c>
      <c r="J122" s="34">
        <v>13</v>
      </c>
      <c r="K122" s="66">
        <v>0.56521739130434778</v>
      </c>
    </row>
    <row r="123" spans="2:11" x14ac:dyDescent="0.35">
      <c r="B123" s="22">
        <v>208</v>
      </c>
      <c r="C123" s="22" t="s">
        <v>493</v>
      </c>
      <c r="D123" s="22" t="s">
        <v>488</v>
      </c>
      <c r="E123" s="22">
        <v>20802</v>
      </c>
      <c r="F123" s="63" t="s">
        <v>209</v>
      </c>
      <c r="G123" s="34">
        <v>31</v>
      </c>
      <c r="H123" s="64">
        <v>10.06</v>
      </c>
      <c r="I123" s="67">
        <v>7.6999999999999999E-2</v>
      </c>
      <c r="J123" s="34">
        <v>12</v>
      </c>
      <c r="K123" s="66">
        <v>0.38709677419354838</v>
      </c>
    </row>
    <row r="124" spans="2:11" x14ac:dyDescent="0.35">
      <c r="B124" s="22">
        <v>208</v>
      </c>
      <c r="C124" s="22" t="s">
        <v>493</v>
      </c>
      <c r="D124" s="22" t="s">
        <v>488</v>
      </c>
      <c r="E124" s="22">
        <v>20803</v>
      </c>
      <c r="F124" s="63" t="s">
        <v>210</v>
      </c>
      <c r="G124" s="34">
        <v>28</v>
      </c>
      <c r="H124" s="64">
        <v>9.8699999999999992</v>
      </c>
      <c r="I124" s="67">
        <v>2.3E-2</v>
      </c>
      <c r="J124" s="34">
        <v>9</v>
      </c>
      <c r="K124" s="66">
        <v>0.32142857142857145</v>
      </c>
    </row>
    <row r="125" spans="2:11" x14ac:dyDescent="0.35">
      <c r="B125" s="22">
        <v>208</v>
      </c>
      <c r="C125" s="22" t="s">
        <v>493</v>
      </c>
      <c r="D125" s="22" t="s">
        <v>488</v>
      </c>
      <c r="E125" s="22">
        <v>20804</v>
      </c>
      <c r="F125" s="63" t="s">
        <v>211</v>
      </c>
      <c r="G125" s="34">
        <v>12</v>
      </c>
      <c r="H125" s="64">
        <v>10.87</v>
      </c>
      <c r="I125" s="67">
        <v>-2.5000000000000001E-2</v>
      </c>
      <c r="J125" s="34">
        <v>6</v>
      </c>
      <c r="K125" s="66">
        <v>0.5</v>
      </c>
    </row>
    <row r="126" spans="2:11" x14ac:dyDescent="0.35">
      <c r="B126" s="22">
        <v>209</v>
      </c>
      <c r="C126" s="22" t="s">
        <v>494</v>
      </c>
      <c r="D126" s="22" t="s">
        <v>488</v>
      </c>
      <c r="E126" s="22">
        <v>20901</v>
      </c>
      <c r="F126" s="63" t="s">
        <v>212</v>
      </c>
      <c r="G126" s="34">
        <v>35</v>
      </c>
      <c r="H126" s="64">
        <v>8.8000000000000007</v>
      </c>
      <c r="I126" s="67">
        <v>4.2000000000000003E-2</v>
      </c>
      <c r="J126" s="34">
        <v>8</v>
      </c>
      <c r="K126" s="66">
        <v>0.22857142857142856</v>
      </c>
    </row>
    <row r="127" spans="2:11" x14ac:dyDescent="0.35">
      <c r="B127" s="22">
        <v>209</v>
      </c>
      <c r="C127" s="22" t="s">
        <v>494</v>
      </c>
      <c r="D127" s="22" t="s">
        <v>488</v>
      </c>
      <c r="E127" s="22">
        <v>20902</v>
      </c>
      <c r="F127" s="63" t="s">
        <v>213</v>
      </c>
      <c r="G127" s="34">
        <v>19</v>
      </c>
      <c r="H127" s="64">
        <v>8.2899999999999991</v>
      </c>
      <c r="I127" s="67">
        <v>7.4999999999999997E-2</v>
      </c>
      <c r="J127" s="34">
        <v>5</v>
      </c>
      <c r="K127" s="66">
        <v>0.26315789473684209</v>
      </c>
    </row>
    <row r="128" spans="2:11" x14ac:dyDescent="0.35">
      <c r="B128" s="22">
        <v>209</v>
      </c>
      <c r="C128" s="22" t="s">
        <v>494</v>
      </c>
      <c r="D128" s="22" t="s">
        <v>488</v>
      </c>
      <c r="E128" s="22">
        <v>20903</v>
      </c>
      <c r="F128" s="63" t="s">
        <v>214</v>
      </c>
      <c r="G128" s="34">
        <v>25</v>
      </c>
      <c r="H128" s="64">
        <v>8</v>
      </c>
      <c r="I128" s="67">
        <v>2.2000000000000002E-2</v>
      </c>
      <c r="J128" s="34">
        <v>2</v>
      </c>
      <c r="K128" s="66">
        <v>0.08</v>
      </c>
    </row>
    <row r="129" spans="2:11" x14ac:dyDescent="0.35">
      <c r="B129" s="22">
        <v>209</v>
      </c>
      <c r="C129" s="22" t="s">
        <v>494</v>
      </c>
      <c r="D129" s="22" t="s">
        <v>488</v>
      </c>
      <c r="E129" s="22">
        <v>20904</v>
      </c>
      <c r="F129" s="63" t="s">
        <v>215</v>
      </c>
      <c r="G129" s="34">
        <v>43</v>
      </c>
      <c r="H129" s="64">
        <v>9.64</v>
      </c>
      <c r="I129" s="67">
        <v>3.4000000000000002E-2</v>
      </c>
      <c r="J129" s="34">
        <v>18</v>
      </c>
      <c r="K129" s="66">
        <v>0.41860465116279072</v>
      </c>
    </row>
    <row r="130" spans="2:11" x14ac:dyDescent="0.35">
      <c r="B130" s="22">
        <v>210</v>
      </c>
      <c r="C130" s="22" t="s">
        <v>495</v>
      </c>
      <c r="D130" s="22" t="s">
        <v>488</v>
      </c>
      <c r="E130" s="22">
        <v>21001</v>
      </c>
      <c r="F130" s="63" t="s">
        <v>216</v>
      </c>
      <c r="G130" s="34">
        <v>13</v>
      </c>
      <c r="H130" s="64">
        <v>8.35</v>
      </c>
      <c r="I130" s="67">
        <v>-5.5999999999999994E-2</v>
      </c>
      <c r="J130" s="34">
        <v>2</v>
      </c>
      <c r="K130" s="66">
        <v>0.15384615384615385</v>
      </c>
    </row>
    <row r="131" spans="2:11" x14ac:dyDescent="0.35">
      <c r="B131" s="22">
        <v>210</v>
      </c>
      <c r="C131" s="22" t="s">
        <v>495</v>
      </c>
      <c r="D131" s="22" t="s">
        <v>488</v>
      </c>
      <c r="E131" s="22">
        <v>21002</v>
      </c>
      <c r="F131" s="63" t="s">
        <v>217</v>
      </c>
      <c r="G131" s="34">
        <v>8</v>
      </c>
      <c r="H131" s="64">
        <v>8.1199999999999992</v>
      </c>
      <c r="I131" s="67">
        <v>-2.6000000000000002E-2</v>
      </c>
      <c r="J131" s="34">
        <v>1</v>
      </c>
      <c r="K131" s="66">
        <v>0.125</v>
      </c>
    </row>
    <row r="132" spans="2:11" x14ac:dyDescent="0.35">
      <c r="B132" s="22">
        <v>210</v>
      </c>
      <c r="C132" s="22" t="s">
        <v>495</v>
      </c>
      <c r="D132" s="22" t="s">
        <v>488</v>
      </c>
      <c r="E132" s="22">
        <v>21003</v>
      </c>
      <c r="F132" s="63" t="s">
        <v>218</v>
      </c>
      <c r="G132" s="34">
        <v>13</v>
      </c>
      <c r="H132" s="64">
        <v>10.01</v>
      </c>
      <c r="I132" s="67">
        <v>-6.0000000000000001E-3</v>
      </c>
      <c r="J132" s="34">
        <v>7</v>
      </c>
      <c r="K132" s="66">
        <v>0.53846153846153844</v>
      </c>
    </row>
    <row r="133" spans="2:11" x14ac:dyDescent="0.35">
      <c r="B133" s="22">
        <v>210</v>
      </c>
      <c r="C133" s="22" t="s">
        <v>495</v>
      </c>
      <c r="D133" s="22" t="s">
        <v>488</v>
      </c>
      <c r="E133" s="22">
        <v>21004</v>
      </c>
      <c r="F133" s="63" t="s">
        <v>219</v>
      </c>
      <c r="G133" s="34">
        <v>8</v>
      </c>
      <c r="H133" s="64">
        <v>10.06</v>
      </c>
      <c r="I133" s="67">
        <v>4.5999999999999999E-2</v>
      </c>
      <c r="J133" s="34">
        <v>2</v>
      </c>
      <c r="K133" s="66">
        <v>0.25</v>
      </c>
    </row>
    <row r="134" spans="2:11" x14ac:dyDescent="0.35">
      <c r="B134" s="22">
        <v>210</v>
      </c>
      <c r="C134" s="22" t="s">
        <v>495</v>
      </c>
      <c r="D134" s="22" t="s">
        <v>488</v>
      </c>
      <c r="E134" s="22">
        <v>21005</v>
      </c>
      <c r="F134" s="63" t="s">
        <v>220</v>
      </c>
      <c r="G134" s="34">
        <v>24</v>
      </c>
      <c r="H134" s="64">
        <v>8.7799999999999994</v>
      </c>
      <c r="I134" s="67">
        <v>5.7000000000000002E-2</v>
      </c>
      <c r="J134" s="34">
        <v>6</v>
      </c>
      <c r="K134" s="66">
        <v>0.25</v>
      </c>
    </row>
    <row r="135" spans="2:11" x14ac:dyDescent="0.35">
      <c r="B135" s="22">
        <v>211</v>
      </c>
      <c r="C135" s="22" t="s">
        <v>496</v>
      </c>
      <c r="D135" s="22" t="s">
        <v>488</v>
      </c>
      <c r="E135" s="22">
        <v>21101</v>
      </c>
      <c r="F135" s="63" t="s">
        <v>221</v>
      </c>
      <c r="G135" s="34">
        <v>37</v>
      </c>
      <c r="H135" s="64">
        <v>9.61</v>
      </c>
      <c r="I135" s="67">
        <v>-3.9E-2</v>
      </c>
      <c r="J135" s="34">
        <v>13</v>
      </c>
      <c r="K135" s="66">
        <v>0.35135135135135137</v>
      </c>
    </row>
    <row r="136" spans="2:11" x14ac:dyDescent="0.35">
      <c r="B136" s="22">
        <v>211</v>
      </c>
      <c r="C136" s="22" t="s">
        <v>496</v>
      </c>
      <c r="D136" s="22" t="s">
        <v>488</v>
      </c>
      <c r="E136" s="22">
        <v>21102</v>
      </c>
      <c r="F136" s="63" t="s">
        <v>222</v>
      </c>
      <c r="G136" s="34">
        <v>10</v>
      </c>
      <c r="H136" s="64">
        <v>9.4600000000000009</v>
      </c>
      <c r="I136" s="67">
        <v>-4.4000000000000004E-2</v>
      </c>
      <c r="J136" s="34">
        <v>4</v>
      </c>
      <c r="K136" s="66">
        <v>0.4</v>
      </c>
    </row>
    <row r="137" spans="2:11" x14ac:dyDescent="0.35">
      <c r="B137" s="22">
        <v>211</v>
      </c>
      <c r="C137" s="22" t="s">
        <v>496</v>
      </c>
      <c r="D137" s="22" t="s">
        <v>488</v>
      </c>
      <c r="E137" s="22">
        <v>21103</v>
      </c>
      <c r="F137" s="63" t="s">
        <v>223</v>
      </c>
      <c r="G137" s="34">
        <v>27</v>
      </c>
      <c r="H137" s="64">
        <v>9.35</v>
      </c>
      <c r="I137" s="67">
        <v>3.7999999999999999E-2</v>
      </c>
      <c r="J137" s="34">
        <v>9</v>
      </c>
      <c r="K137" s="66">
        <v>0.33333333333333331</v>
      </c>
    </row>
    <row r="138" spans="2:11" x14ac:dyDescent="0.35">
      <c r="B138" s="22">
        <v>211</v>
      </c>
      <c r="C138" s="22" t="s">
        <v>496</v>
      </c>
      <c r="D138" s="22" t="s">
        <v>488</v>
      </c>
      <c r="E138" s="22">
        <v>21104</v>
      </c>
      <c r="F138" s="63" t="s">
        <v>224</v>
      </c>
      <c r="G138" s="34">
        <v>12</v>
      </c>
      <c r="H138" s="64">
        <v>9.4700000000000006</v>
      </c>
      <c r="I138" s="67">
        <v>5.2000000000000005E-2</v>
      </c>
      <c r="J138" s="34">
        <v>3</v>
      </c>
      <c r="K138" s="66">
        <v>0.25</v>
      </c>
    </row>
    <row r="139" spans="2:11" x14ac:dyDescent="0.35">
      <c r="B139" s="22">
        <v>211</v>
      </c>
      <c r="C139" s="22" t="s">
        <v>496</v>
      </c>
      <c r="D139" s="22" t="s">
        <v>488</v>
      </c>
      <c r="E139" s="22">
        <v>21105</v>
      </c>
      <c r="F139" s="63" t="s">
        <v>225</v>
      </c>
      <c r="G139" s="34">
        <v>49</v>
      </c>
      <c r="H139" s="64">
        <v>8.65</v>
      </c>
      <c r="I139" s="67">
        <v>1.2E-2</v>
      </c>
      <c r="J139" s="34">
        <v>13</v>
      </c>
      <c r="K139" s="66">
        <v>0.26530612244897961</v>
      </c>
    </row>
    <row r="140" spans="2:11" x14ac:dyDescent="0.35">
      <c r="B140" s="22">
        <v>212</v>
      </c>
      <c r="C140" s="22" t="s">
        <v>497</v>
      </c>
      <c r="D140" s="22" t="s">
        <v>488</v>
      </c>
      <c r="E140" s="22">
        <v>21201</v>
      </c>
      <c r="F140" s="63" t="s">
        <v>226</v>
      </c>
      <c r="G140" s="34">
        <v>21</v>
      </c>
      <c r="H140" s="64">
        <v>8.23</v>
      </c>
      <c r="I140" s="67">
        <v>5.0999999999999997E-2</v>
      </c>
      <c r="J140" s="34">
        <v>2</v>
      </c>
      <c r="K140" s="66">
        <v>9.5238095238095233E-2</v>
      </c>
    </row>
    <row r="141" spans="2:11" x14ac:dyDescent="0.35">
      <c r="B141" s="22">
        <v>212</v>
      </c>
      <c r="C141" s="22" t="s">
        <v>497</v>
      </c>
      <c r="D141" s="22" t="s">
        <v>488</v>
      </c>
      <c r="E141" s="22">
        <v>21202</v>
      </c>
      <c r="F141" s="63" t="s">
        <v>227</v>
      </c>
      <c r="G141" s="34">
        <v>26</v>
      </c>
      <c r="H141" s="64">
        <v>9.57</v>
      </c>
      <c r="I141" s="67">
        <v>5.0999999999999997E-2</v>
      </c>
      <c r="J141" s="34">
        <v>12</v>
      </c>
      <c r="K141" s="66">
        <v>0.46153846153846156</v>
      </c>
    </row>
    <row r="142" spans="2:11" x14ac:dyDescent="0.35">
      <c r="B142" s="22">
        <v>212</v>
      </c>
      <c r="C142" s="22" t="s">
        <v>497</v>
      </c>
      <c r="D142" s="22" t="s">
        <v>488</v>
      </c>
      <c r="E142" s="22">
        <v>21203</v>
      </c>
      <c r="F142" s="63" t="s">
        <v>228</v>
      </c>
      <c r="G142" s="34">
        <v>27</v>
      </c>
      <c r="H142" s="64">
        <v>8.8000000000000007</v>
      </c>
      <c r="I142" s="67">
        <v>6.3E-2</v>
      </c>
      <c r="J142" s="34">
        <v>8</v>
      </c>
      <c r="K142" s="66">
        <v>0.29629629629629628</v>
      </c>
    </row>
    <row r="143" spans="2:11" x14ac:dyDescent="0.35">
      <c r="B143" s="22">
        <v>212</v>
      </c>
      <c r="C143" s="22" t="s">
        <v>497</v>
      </c>
      <c r="D143" s="22" t="s">
        <v>488</v>
      </c>
      <c r="E143" s="22">
        <v>21204</v>
      </c>
      <c r="F143" s="63" t="s">
        <v>229</v>
      </c>
      <c r="G143" s="34">
        <v>26</v>
      </c>
      <c r="H143" s="64">
        <v>8.6999999999999993</v>
      </c>
      <c r="I143" s="67">
        <v>4.7E-2</v>
      </c>
      <c r="J143" s="34">
        <v>7</v>
      </c>
      <c r="K143" s="66">
        <v>0.26923076923076922</v>
      </c>
    </row>
    <row r="144" spans="2:11" x14ac:dyDescent="0.35">
      <c r="B144" s="22">
        <v>212</v>
      </c>
      <c r="C144" s="22" t="s">
        <v>497</v>
      </c>
      <c r="D144" s="22" t="s">
        <v>488</v>
      </c>
      <c r="E144" s="22">
        <v>21205</v>
      </c>
      <c r="F144" s="63" t="s">
        <v>230</v>
      </c>
      <c r="G144" s="34">
        <v>43</v>
      </c>
      <c r="H144" s="64">
        <v>9.42</v>
      </c>
      <c r="I144" s="67">
        <v>0.03</v>
      </c>
      <c r="J144" s="34">
        <v>17</v>
      </c>
      <c r="K144" s="66">
        <v>0.39534883720930231</v>
      </c>
    </row>
    <row r="145" spans="2:11" x14ac:dyDescent="0.35">
      <c r="B145" s="22">
        <v>213</v>
      </c>
      <c r="C145" s="22" t="s">
        <v>498</v>
      </c>
      <c r="D145" s="22" t="s">
        <v>488</v>
      </c>
      <c r="E145" s="22">
        <v>21301</v>
      </c>
      <c r="F145" s="63" t="s">
        <v>231</v>
      </c>
      <c r="G145" s="34">
        <v>34</v>
      </c>
      <c r="H145" s="64">
        <v>8.66</v>
      </c>
      <c r="I145" s="67">
        <v>-3.1E-2</v>
      </c>
      <c r="J145" s="34">
        <v>7</v>
      </c>
      <c r="K145" s="66">
        <v>0.20588235294117646</v>
      </c>
    </row>
    <row r="146" spans="2:11" x14ac:dyDescent="0.35">
      <c r="B146" s="22">
        <v>213</v>
      </c>
      <c r="C146" s="22" t="s">
        <v>498</v>
      </c>
      <c r="D146" s="22" t="s">
        <v>488</v>
      </c>
      <c r="E146" s="22">
        <v>21302</v>
      </c>
      <c r="F146" s="63" t="s">
        <v>232</v>
      </c>
      <c r="G146" s="34">
        <v>23</v>
      </c>
      <c r="H146" s="64">
        <v>9.5299999999999994</v>
      </c>
      <c r="I146" s="67">
        <v>-5.0000000000000001E-3</v>
      </c>
      <c r="J146" s="34">
        <v>9</v>
      </c>
      <c r="K146" s="66">
        <v>0.39130434782608697</v>
      </c>
    </row>
    <row r="147" spans="2:11" x14ac:dyDescent="0.35">
      <c r="B147" s="22">
        <v>213</v>
      </c>
      <c r="C147" s="22" t="s">
        <v>498</v>
      </c>
      <c r="D147" s="22" t="s">
        <v>488</v>
      </c>
      <c r="E147" s="22">
        <v>21303</v>
      </c>
      <c r="F147" s="63" t="s">
        <v>233</v>
      </c>
      <c r="G147" s="34">
        <v>14</v>
      </c>
      <c r="H147" s="64">
        <v>8.52</v>
      </c>
      <c r="I147" s="67">
        <v>-1.2E-2</v>
      </c>
      <c r="J147" s="34">
        <v>3</v>
      </c>
      <c r="K147" s="66">
        <v>0.21428571428571427</v>
      </c>
    </row>
    <row r="148" spans="2:11" x14ac:dyDescent="0.35">
      <c r="B148" s="22">
        <v>213</v>
      </c>
      <c r="C148" s="22" t="s">
        <v>498</v>
      </c>
      <c r="D148" s="22" t="s">
        <v>488</v>
      </c>
      <c r="E148" s="22">
        <v>21304</v>
      </c>
      <c r="F148" s="63" t="s">
        <v>234</v>
      </c>
      <c r="G148" s="34">
        <v>26</v>
      </c>
      <c r="H148" s="64">
        <v>8.8800000000000008</v>
      </c>
      <c r="I148" s="67">
        <v>5.9000000000000004E-2</v>
      </c>
      <c r="J148" s="34">
        <v>4</v>
      </c>
      <c r="K148" s="66">
        <v>0.15384615384615385</v>
      </c>
    </row>
    <row r="149" spans="2:11" x14ac:dyDescent="0.35">
      <c r="B149" s="22">
        <v>213</v>
      </c>
      <c r="C149" s="22" t="s">
        <v>498</v>
      </c>
      <c r="D149" s="22" t="s">
        <v>488</v>
      </c>
      <c r="E149" s="22">
        <v>21305</v>
      </c>
      <c r="F149" s="63" t="s">
        <v>235</v>
      </c>
      <c r="G149" s="34">
        <v>42</v>
      </c>
      <c r="H149" s="64">
        <v>7.94</v>
      </c>
      <c r="I149" s="67">
        <v>1.3000000000000001E-2</v>
      </c>
      <c r="J149" s="34">
        <v>4</v>
      </c>
      <c r="K149" s="66">
        <v>9.5238095238095233E-2</v>
      </c>
    </row>
    <row r="150" spans="2:11" x14ac:dyDescent="0.35">
      <c r="B150" s="22">
        <v>214</v>
      </c>
      <c r="C150" s="22" t="s">
        <v>237</v>
      </c>
      <c r="D150" s="22" t="s">
        <v>488</v>
      </c>
      <c r="E150" s="22">
        <v>21401</v>
      </c>
      <c r="F150" s="63" t="s">
        <v>236</v>
      </c>
      <c r="G150" s="34">
        <v>26</v>
      </c>
      <c r="H150" s="64">
        <v>9.5500000000000007</v>
      </c>
      <c r="I150" s="67">
        <v>3.5000000000000003E-2</v>
      </c>
      <c r="J150" s="34">
        <v>8</v>
      </c>
      <c r="K150" s="66">
        <v>0.30769230769230771</v>
      </c>
    </row>
    <row r="151" spans="2:11" x14ac:dyDescent="0.35">
      <c r="B151" s="22">
        <v>214</v>
      </c>
      <c r="C151" s="22" t="s">
        <v>237</v>
      </c>
      <c r="D151" s="22" t="s">
        <v>488</v>
      </c>
      <c r="E151" s="22">
        <v>21402</v>
      </c>
      <c r="F151" s="63" t="s">
        <v>237</v>
      </c>
      <c r="G151" s="34">
        <v>40</v>
      </c>
      <c r="H151" s="64">
        <v>10.3</v>
      </c>
      <c r="I151" s="67">
        <v>5.9000000000000004E-2</v>
      </c>
      <c r="J151" s="34">
        <v>19</v>
      </c>
      <c r="K151" s="66">
        <v>0.47499999999999998</v>
      </c>
    </row>
    <row r="152" spans="2:11" x14ac:dyDescent="0.35">
      <c r="B152" s="22">
        <v>215</v>
      </c>
      <c r="C152" s="22" t="s">
        <v>499</v>
      </c>
      <c r="D152" s="22" t="s">
        <v>488</v>
      </c>
      <c r="E152" s="22">
        <v>21501</v>
      </c>
      <c r="F152" s="63" t="s">
        <v>238</v>
      </c>
      <c r="G152" s="34">
        <v>5</v>
      </c>
      <c r="H152" s="64">
        <v>8.1</v>
      </c>
      <c r="I152" s="67">
        <v>6.5000000000000002E-2</v>
      </c>
      <c r="J152" s="34">
        <v>1</v>
      </c>
      <c r="K152" s="66">
        <v>0.2</v>
      </c>
    </row>
    <row r="153" spans="2:11" x14ac:dyDescent="0.35">
      <c r="B153" s="22">
        <v>215</v>
      </c>
      <c r="C153" s="22" t="s">
        <v>499</v>
      </c>
      <c r="D153" s="22" t="s">
        <v>488</v>
      </c>
      <c r="E153" s="22">
        <v>21502</v>
      </c>
      <c r="F153" s="63" t="s">
        <v>239</v>
      </c>
      <c r="G153" s="34">
        <v>12</v>
      </c>
      <c r="H153" s="64">
        <v>8.24</v>
      </c>
      <c r="I153" s="67">
        <v>0.16899999999999998</v>
      </c>
      <c r="J153" s="34">
        <v>3</v>
      </c>
      <c r="K153" s="66">
        <v>0.25</v>
      </c>
    </row>
    <row r="154" spans="2:11" x14ac:dyDescent="0.35">
      <c r="B154" s="22">
        <v>215</v>
      </c>
      <c r="C154" s="22" t="s">
        <v>499</v>
      </c>
      <c r="D154" s="22" t="s">
        <v>488</v>
      </c>
      <c r="E154" s="22">
        <v>21503</v>
      </c>
      <c r="F154" s="63" t="s">
        <v>240</v>
      </c>
      <c r="G154" s="34" t="s">
        <v>464</v>
      </c>
      <c r="H154" s="64"/>
      <c r="I154" s="67"/>
      <c r="J154" s="34"/>
      <c r="K154" s="22"/>
    </row>
    <row r="155" spans="2:11" x14ac:dyDescent="0.35">
      <c r="B155" s="22">
        <v>216</v>
      </c>
      <c r="C155" s="22" t="s">
        <v>243</v>
      </c>
      <c r="D155" s="22" t="s">
        <v>488</v>
      </c>
      <c r="E155" s="22">
        <v>21601</v>
      </c>
      <c r="F155" s="63" t="s">
        <v>241</v>
      </c>
      <c r="G155" s="34">
        <v>5</v>
      </c>
      <c r="H155" s="64">
        <v>7.68</v>
      </c>
      <c r="I155" s="67"/>
      <c r="J155" s="34">
        <v>1</v>
      </c>
      <c r="K155" s="66">
        <v>0.2</v>
      </c>
    </row>
    <row r="156" spans="2:11" x14ac:dyDescent="0.35">
      <c r="B156" s="22">
        <v>216</v>
      </c>
      <c r="C156" s="22" t="s">
        <v>243</v>
      </c>
      <c r="D156" s="22" t="s">
        <v>488</v>
      </c>
      <c r="E156" s="22">
        <v>21602</v>
      </c>
      <c r="F156" s="63" t="s">
        <v>242</v>
      </c>
      <c r="G156" s="34" t="s">
        <v>464</v>
      </c>
      <c r="H156" s="64"/>
      <c r="I156" s="67"/>
      <c r="J156" s="34"/>
      <c r="K156" s="22"/>
    </row>
    <row r="157" spans="2:11" x14ac:dyDescent="0.35">
      <c r="B157" s="22">
        <v>216</v>
      </c>
      <c r="C157" s="22" t="s">
        <v>243</v>
      </c>
      <c r="D157" s="22" t="s">
        <v>488</v>
      </c>
      <c r="E157" s="22">
        <v>21603</v>
      </c>
      <c r="F157" s="63" t="s">
        <v>243</v>
      </c>
      <c r="G157" s="34">
        <v>16</v>
      </c>
      <c r="H157" s="64">
        <v>7.24</v>
      </c>
      <c r="I157" s="67">
        <v>2.5000000000000001E-2</v>
      </c>
      <c r="J157" s="34">
        <v>1</v>
      </c>
      <c r="K157" s="66">
        <v>6.25E-2</v>
      </c>
    </row>
    <row r="158" spans="2:11" x14ac:dyDescent="0.35">
      <c r="B158" s="22">
        <v>217</v>
      </c>
      <c r="C158" s="22" t="s">
        <v>500</v>
      </c>
      <c r="D158" s="22" t="s">
        <v>488</v>
      </c>
      <c r="E158" s="22">
        <v>21701</v>
      </c>
      <c r="F158" s="63" t="s">
        <v>244</v>
      </c>
      <c r="G158" s="34" t="s">
        <v>464</v>
      </c>
      <c r="H158" s="64"/>
      <c r="I158" s="67"/>
      <c r="J158" s="34"/>
      <c r="K158" s="22"/>
    </row>
    <row r="159" spans="2:11" x14ac:dyDescent="0.35">
      <c r="B159" s="22">
        <v>217</v>
      </c>
      <c r="C159" s="22" t="s">
        <v>500</v>
      </c>
      <c r="D159" s="22" t="s">
        <v>488</v>
      </c>
      <c r="E159" s="22">
        <v>21703</v>
      </c>
      <c r="F159" s="63" t="s">
        <v>245</v>
      </c>
      <c r="G159" s="34" t="s">
        <v>464</v>
      </c>
      <c r="H159" s="64"/>
      <c r="I159" s="67"/>
      <c r="J159" s="34"/>
      <c r="K159" s="22"/>
    </row>
    <row r="160" spans="2:11" x14ac:dyDescent="0.35">
      <c r="B160" s="22">
        <v>217</v>
      </c>
      <c r="C160" s="22" t="s">
        <v>500</v>
      </c>
      <c r="D160" s="22" t="s">
        <v>488</v>
      </c>
      <c r="E160" s="22">
        <v>21704</v>
      </c>
      <c r="F160" s="63" t="s">
        <v>246</v>
      </c>
      <c r="G160" s="34" t="s">
        <v>464</v>
      </c>
      <c r="H160" s="64"/>
      <c r="I160" s="67"/>
      <c r="J160" s="34"/>
      <c r="K160" s="22"/>
    </row>
    <row r="161" spans="2:11" x14ac:dyDescent="0.35">
      <c r="B161" s="22">
        <v>301</v>
      </c>
      <c r="C161" s="22" t="s">
        <v>501</v>
      </c>
      <c r="D161" s="22" t="s">
        <v>502</v>
      </c>
      <c r="E161" s="22">
        <v>30101</v>
      </c>
      <c r="F161" s="63" t="s">
        <v>247</v>
      </c>
      <c r="G161" s="34">
        <v>14</v>
      </c>
      <c r="H161" s="64">
        <v>6.19</v>
      </c>
      <c r="I161" s="67">
        <v>1E-3</v>
      </c>
      <c r="J161" s="34"/>
      <c r="K161" s="22"/>
    </row>
    <row r="162" spans="2:11" x14ac:dyDescent="0.35">
      <c r="B162" s="22">
        <v>301</v>
      </c>
      <c r="C162" s="22" t="s">
        <v>501</v>
      </c>
      <c r="D162" s="22" t="s">
        <v>502</v>
      </c>
      <c r="E162" s="22">
        <v>30102</v>
      </c>
      <c r="F162" s="63" t="s">
        <v>248</v>
      </c>
      <c r="G162" s="34">
        <v>14</v>
      </c>
      <c r="H162" s="64">
        <v>6.91</v>
      </c>
      <c r="I162" s="67">
        <v>9.6000000000000002E-2</v>
      </c>
      <c r="J162" s="34">
        <v>1</v>
      </c>
      <c r="K162" s="66">
        <v>7.1428571428571425E-2</v>
      </c>
    </row>
    <row r="163" spans="2:11" x14ac:dyDescent="0.35">
      <c r="B163" s="22">
        <v>301</v>
      </c>
      <c r="C163" s="22" t="s">
        <v>501</v>
      </c>
      <c r="D163" s="22" t="s">
        <v>502</v>
      </c>
      <c r="E163" s="22">
        <v>30103</v>
      </c>
      <c r="F163" s="63" t="s">
        <v>249</v>
      </c>
      <c r="G163" s="34">
        <v>13</v>
      </c>
      <c r="H163" s="64">
        <v>6.33</v>
      </c>
      <c r="I163" s="67">
        <v>-4.0999999999999995E-2</v>
      </c>
      <c r="J163" s="34">
        <v>1</v>
      </c>
      <c r="K163" s="66">
        <v>7.6923076923076927E-2</v>
      </c>
    </row>
    <row r="164" spans="2:11" x14ac:dyDescent="0.35">
      <c r="B164" s="22">
        <v>302</v>
      </c>
      <c r="C164" s="22" t="s">
        <v>503</v>
      </c>
      <c r="D164" s="22" t="s">
        <v>502</v>
      </c>
      <c r="E164" s="22">
        <v>30201</v>
      </c>
      <c r="F164" s="63" t="s">
        <v>250</v>
      </c>
      <c r="G164" s="34">
        <v>6</v>
      </c>
      <c r="H164" s="64">
        <v>6.17</v>
      </c>
      <c r="I164" s="67">
        <v>-0.02</v>
      </c>
      <c r="J164" s="34"/>
      <c r="K164" s="22"/>
    </row>
    <row r="165" spans="2:11" x14ac:dyDescent="0.35">
      <c r="B165" s="22">
        <v>302</v>
      </c>
      <c r="C165" s="22" t="s">
        <v>503</v>
      </c>
      <c r="D165" s="22" t="s">
        <v>502</v>
      </c>
      <c r="E165" s="22">
        <v>30202</v>
      </c>
      <c r="F165" s="63" t="s">
        <v>251</v>
      </c>
      <c r="G165" s="34">
        <v>14</v>
      </c>
      <c r="H165" s="64">
        <v>6.86</v>
      </c>
      <c r="I165" s="67">
        <v>3.7999999999999999E-2</v>
      </c>
      <c r="J165" s="34">
        <v>1</v>
      </c>
      <c r="K165" s="66">
        <v>7.1428571428571425E-2</v>
      </c>
    </row>
    <row r="166" spans="2:11" x14ac:dyDescent="0.35">
      <c r="B166" s="22">
        <v>302</v>
      </c>
      <c r="C166" s="22" t="s">
        <v>503</v>
      </c>
      <c r="D166" s="22" t="s">
        <v>502</v>
      </c>
      <c r="E166" s="22">
        <v>30203</v>
      </c>
      <c r="F166" s="63" t="s">
        <v>252</v>
      </c>
      <c r="G166" s="34">
        <v>9</v>
      </c>
      <c r="H166" s="64">
        <v>6.06</v>
      </c>
      <c r="I166" s="67">
        <v>-2.7999999999999997E-2</v>
      </c>
      <c r="J166" s="34"/>
      <c r="K166" s="22"/>
    </row>
    <row r="167" spans="2:11" x14ac:dyDescent="0.35">
      <c r="B167" s="22">
        <v>302</v>
      </c>
      <c r="C167" s="22" t="s">
        <v>503</v>
      </c>
      <c r="D167" s="22" t="s">
        <v>502</v>
      </c>
      <c r="E167" s="22">
        <v>30204</v>
      </c>
      <c r="F167" s="63" t="s">
        <v>253</v>
      </c>
      <c r="G167" s="34">
        <v>13</v>
      </c>
      <c r="H167" s="64">
        <v>6</v>
      </c>
      <c r="I167" s="67">
        <v>-3.0000000000000001E-3</v>
      </c>
      <c r="J167" s="34"/>
      <c r="K167" s="22"/>
    </row>
    <row r="168" spans="2:11" x14ac:dyDescent="0.35">
      <c r="B168" s="22">
        <v>303</v>
      </c>
      <c r="C168" s="22" t="s">
        <v>504</v>
      </c>
      <c r="D168" s="22" t="s">
        <v>502</v>
      </c>
      <c r="E168" s="22">
        <v>30301</v>
      </c>
      <c r="F168" s="63" t="s">
        <v>254</v>
      </c>
      <c r="G168" s="34">
        <v>12</v>
      </c>
      <c r="H168" s="64">
        <v>5.98</v>
      </c>
      <c r="I168" s="67">
        <v>0</v>
      </c>
      <c r="J168" s="34"/>
      <c r="K168" s="22"/>
    </row>
    <row r="169" spans="2:11" x14ac:dyDescent="0.35">
      <c r="B169" s="22">
        <v>303</v>
      </c>
      <c r="C169" s="22" t="s">
        <v>504</v>
      </c>
      <c r="D169" s="22" t="s">
        <v>502</v>
      </c>
      <c r="E169" s="22">
        <v>30302</v>
      </c>
      <c r="F169" s="63" t="s">
        <v>255</v>
      </c>
      <c r="G169" s="34">
        <v>15</v>
      </c>
      <c r="H169" s="64">
        <v>6.25</v>
      </c>
      <c r="I169" s="67">
        <v>-3.5000000000000003E-2</v>
      </c>
      <c r="J169" s="34"/>
      <c r="K169" s="22"/>
    </row>
    <row r="170" spans="2:11" x14ac:dyDescent="0.35">
      <c r="B170" s="22">
        <v>303</v>
      </c>
      <c r="C170" s="22" t="s">
        <v>504</v>
      </c>
      <c r="D170" s="22" t="s">
        <v>502</v>
      </c>
      <c r="E170" s="22">
        <v>30303</v>
      </c>
      <c r="F170" s="63" t="s">
        <v>256</v>
      </c>
      <c r="G170" s="34">
        <v>18</v>
      </c>
      <c r="H170" s="64">
        <v>6.52</v>
      </c>
      <c r="I170" s="67">
        <v>-2.4E-2</v>
      </c>
      <c r="J170" s="34"/>
      <c r="K170" s="22"/>
    </row>
    <row r="171" spans="2:11" x14ac:dyDescent="0.35">
      <c r="B171" s="22">
        <v>303</v>
      </c>
      <c r="C171" s="22" t="s">
        <v>504</v>
      </c>
      <c r="D171" s="22" t="s">
        <v>502</v>
      </c>
      <c r="E171" s="22">
        <v>30304</v>
      </c>
      <c r="F171" s="63" t="s">
        <v>257</v>
      </c>
      <c r="G171" s="34">
        <v>9</v>
      </c>
      <c r="H171" s="64">
        <v>6.14</v>
      </c>
      <c r="I171" s="67">
        <v>1.2E-2</v>
      </c>
      <c r="J171" s="34"/>
      <c r="K171" s="22"/>
    </row>
    <row r="172" spans="2:11" x14ac:dyDescent="0.35">
      <c r="B172" s="22">
        <v>303</v>
      </c>
      <c r="C172" s="22" t="s">
        <v>504</v>
      </c>
      <c r="D172" s="22" t="s">
        <v>502</v>
      </c>
      <c r="E172" s="22">
        <v>30305</v>
      </c>
      <c r="F172" s="63" t="s">
        <v>258</v>
      </c>
      <c r="G172" s="34">
        <v>9</v>
      </c>
      <c r="H172" s="64">
        <v>6.73</v>
      </c>
      <c r="I172" s="67">
        <v>3.7000000000000005E-2</v>
      </c>
      <c r="J172" s="34"/>
      <c r="K172" s="22"/>
    </row>
    <row r="173" spans="2:11" x14ac:dyDescent="0.35">
      <c r="B173" s="22">
        <v>303</v>
      </c>
      <c r="C173" s="22" t="s">
        <v>504</v>
      </c>
      <c r="D173" s="22" t="s">
        <v>502</v>
      </c>
      <c r="E173" s="22">
        <v>30306</v>
      </c>
      <c r="F173" s="63" t="s">
        <v>259</v>
      </c>
      <c r="G173" s="34">
        <v>7</v>
      </c>
      <c r="H173" s="64">
        <v>6.09</v>
      </c>
      <c r="I173" s="67">
        <v>1.8000000000000002E-2</v>
      </c>
      <c r="J173" s="34"/>
      <c r="K173" s="22"/>
    </row>
    <row r="174" spans="2:11" x14ac:dyDescent="0.35">
      <c r="B174" s="22">
        <v>304</v>
      </c>
      <c r="C174" s="22" t="s">
        <v>505</v>
      </c>
      <c r="D174" s="22" t="s">
        <v>502</v>
      </c>
      <c r="E174" s="22">
        <v>30401</v>
      </c>
      <c r="F174" s="63" t="s">
        <v>260</v>
      </c>
      <c r="G174" s="34">
        <v>6</v>
      </c>
      <c r="H174" s="64">
        <v>5.55</v>
      </c>
      <c r="I174" s="67">
        <v>-8.1000000000000003E-2</v>
      </c>
      <c r="J174" s="34"/>
      <c r="K174" s="22"/>
    </row>
    <row r="175" spans="2:11" x14ac:dyDescent="0.35">
      <c r="B175" s="22">
        <v>304</v>
      </c>
      <c r="C175" s="22" t="s">
        <v>505</v>
      </c>
      <c r="D175" s="22" t="s">
        <v>502</v>
      </c>
      <c r="E175" s="22">
        <v>30402</v>
      </c>
      <c r="F175" s="63" t="s">
        <v>261</v>
      </c>
      <c r="G175" s="34">
        <v>9</v>
      </c>
      <c r="H175" s="64">
        <v>5.63</v>
      </c>
      <c r="I175" s="67">
        <v>-6.7000000000000004E-2</v>
      </c>
      <c r="J175" s="34"/>
      <c r="K175" s="22"/>
    </row>
    <row r="176" spans="2:11" x14ac:dyDescent="0.35">
      <c r="B176" s="22">
        <v>304</v>
      </c>
      <c r="C176" s="22" t="s">
        <v>505</v>
      </c>
      <c r="D176" s="22" t="s">
        <v>502</v>
      </c>
      <c r="E176" s="22">
        <v>30403</v>
      </c>
      <c r="F176" s="63" t="s">
        <v>262</v>
      </c>
      <c r="G176" s="34">
        <v>11</v>
      </c>
      <c r="H176" s="64">
        <v>6.56</v>
      </c>
      <c r="I176" s="67">
        <v>-0.113</v>
      </c>
      <c r="J176" s="34"/>
      <c r="K176" s="22"/>
    </row>
    <row r="177" spans="2:11" x14ac:dyDescent="0.35">
      <c r="B177" s="22">
        <v>304</v>
      </c>
      <c r="C177" s="22" t="s">
        <v>505</v>
      </c>
      <c r="D177" s="22" t="s">
        <v>502</v>
      </c>
      <c r="E177" s="22">
        <v>30404</v>
      </c>
      <c r="F177" s="63" t="s">
        <v>263</v>
      </c>
      <c r="G177" s="34">
        <v>14</v>
      </c>
      <c r="H177" s="64">
        <v>7.11</v>
      </c>
      <c r="I177" s="67">
        <v>5.7999999999999996E-2</v>
      </c>
      <c r="J177" s="34">
        <v>1</v>
      </c>
      <c r="K177" s="66">
        <v>7.1428571428571425E-2</v>
      </c>
    </row>
    <row r="178" spans="2:11" x14ac:dyDescent="0.35">
      <c r="B178" s="22">
        <v>305</v>
      </c>
      <c r="C178" s="22" t="s">
        <v>506</v>
      </c>
      <c r="D178" s="22" t="s">
        <v>502</v>
      </c>
      <c r="E178" s="22">
        <v>30501</v>
      </c>
      <c r="F178" s="63" t="s">
        <v>264</v>
      </c>
      <c r="G178" s="34">
        <v>7</v>
      </c>
      <c r="H178" s="64">
        <v>6.39</v>
      </c>
      <c r="I178" s="67">
        <v>-8.5000000000000006E-2</v>
      </c>
      <c r="J178" s="34"/>
      <c r="K178" s="22"/>
    </row>
    <row r="179" spans="2:11" x14ac:dyDescent="0.35">
      <c r="B179" s="22">
        <v>305</v>
      </c>
      <c r="C179" s="22" t="s">
        <v>506</v>
      </c>
      <c r="D179" s="22" t="s">
        <v>502</v>
      </c>
      <c r="E179" s="22">
        <v>30502</v>
      </c>
      <c r="F179" s="63" t="s">
        <v>265</v>
      </c>
      <c r="G179" s="34">
        <v>6</v>
      </c>
      <c r="H179" s="64">
        <v>6.52</v>
      </c>
      <c r="I179" s="67">
        <v>1.3999999999999999E-2</v>
      </c>
      <c r="J179" s="34"/>
      <c r="K179" s="22"/>
    </row>
    <row r="180" spans="2:11" x14ac:dyDescent="0.35">
      <c r="B180" s="22">
        <v>305</v>
      </c>
      <c r="C180" s="22" t="s">
        <v>506</v>
      </c>
      <c r="D180" s="22" t="s">
        <v>502</v>
      </c>
      <c r="E180" s="22">
        <v>30503</v>
      </c>
      <c r="F180" s="63" t="s">
        <v>266</v>
      </c>
      <c r="G180" s="34">
        <v>17</v>
      </c>
      <c r="H180" s="64">
        <v>6.72</v>
      </c>
      <c r="I180" s="67">
        <v>-1.8000000000000002E-2</v>
      </c>
      <c r="J180" s="34">
        <v>1</v>
      </c>
      <c r="K180" s="66">
        <v>5.8823529411764705E-2</v>
      </c>
    </row>
    <row r="181" spans="2:11" x14ac:dyDescent="0.35">
      <c r="B181" s="22">
        <v>305</v>
      </c>
      <c r="C181" s="22" t="s">
        <v>506</v>
      </c>
      <c r="D181" s="22" t="s">
        <v>502</v>
      </c>
      <c r="E181" s="22">
        <v>30504</v>
      </c>
      <c r="F181" s="63" t="s">
        <v>267</v>
      </c>
      <c r="G181" s="34">
        <v>13</v>
      </c>
      <c r="H181" s="64">
        <v>6.64</v>
      </c>
      <c r="I181" s="67">
        <v>-0.03</v>
      </c>
      <c r="J181" s="34"/>
      <c r="K181" s="22"/>
    </row>
    <row r="182" spans="2:11" x14ac:dyDescent="0.35">
      <c r="B182" s="22">
        <v>306</v>
      </c>
      <c r="C182" s="22" t="s">
        <v>507</v>
      </c>
      <c r="D182" s="22" t="s">
        <v>502</v>
      </c>
      <c r="E182" s="22">
        <v>30601</v>
      </c>
      <c r="F182" s="63" t="s">
        <v>268</v>
      </c>
      <c r="G182" s="34">
        <v>11</v>
      </c>
      <c r="H182" s="64">
        <v>6.79</v>
      </c>
      <c r="I182" s="67">
        <v>1.6E-2</v>
      </c>
      <c r="J182" s="34"/>
      <c r="K182" s="22"/>
    </row>
    <row r="183" spans="2:11" x14ac:dyDescent="0.35">
      <c r="B183" s="22">
        <v>306</v>
      </c>
      <c r="C183" s="22" t="s">
        <v>507</v>
      </c>
      <c r="D183" s="22" t="s">
        <v>502</v>
      </c>
      <c r="E183" s="22">
        <v>30602</v>
      </c>
      <c r="F183" s="63" t="s">
        <v>269</v>
      </c>
      <c r="G183" s="34">
        <v>20</v>
      </c>
      <c r="H183" s="64">
        <v>6.5</v>
      </c>
      <c r="I183" s="67">
        <v>-1.3999999999999999E-2</v>
      </c>
      <c r="J183" s="34"/>
      <c r="K183" s="22"/>
    </row>
    <row r="184" spans="2:11" x14ac:dyDescent="0.35">
      <c r="B184" s="22">
        <v>306</v>
      </c>
      <c r="C184" s="22" t="s">
        <v>507</v>
      </c>
      <c r="D184" s="22" t="s">
        <v>502</v>
      </c>
      <c r="E184" s="22">
        <v>30603</v>
      </c>
      <c r="F184" s="63" t="s">
        <v>270</v>
      </c>
      <c r="G184" s="34" t="s">
        <v>464</v>
      </c>
      <c r="H184" s="64"/>
      <c r="I184" s="67"/>
      <c r="J184" s="34"/>
      <c r="K184" s="22"/>
    </row>
    <row r="185" spans="2:11" x14ac:dyDescent="0.35">
      <c r="B185" s="22">
        <v>306</v>
      </c>
      <c r="C185" s="22" t="s">
        <v>507</v>
      </c>
      <c r="D185" s="22" t="s">
        <v>502</v>
      </c>
      <c r="E185" s="22">
        <v>30604</v>
      </c>
      <c r="F185" s="63" t="s">
        <v>271</v>
      </c>
      <c r="G185" s="34" t="s">
        <v>464</v>
      </c>
      <c r="H185" s="64"/>
      <c r="I185" s="67"/>
      <c r="J185" s="34"/>
      <c r="K185" s="22"/>
    </row>
    <row r="186" spans="2:11" x14ac:dyDescent="0.35">
      <c r="B186" s="22">
        <v>306</v>
      </c>
      <c r="C186" s="22" t="s">
        <v>507</v>
      </c>
      <c r="D186" s="22" t="s">
        <v>502</v>
      </c>
      <c r="E186" s="22">
        <v>30605</v>
      </c>
      <c r="F186" s="63" t="s">
        <v>272</v>
      </c>
      <c r="G186" s="34">
        <v>5</v>
      </c>
      <c r="H186" s="64">
        <v>6.53</v>
      </c>
      <c r="I186" s="67">
        <v>0.08</v>
      </c>
      <c r="J186" s="34"/>
      <c r="K186" s="22"/>
    </row>
    <row r="187" spans="2:11" x14ac:dyDescent="0.35">
      <c r="B187" s="22">
        <v>307</v>
      </c>
      <c r="C187" s="22" t="s">
        <v>508</v>
      </c>
      <c r="D187" s="22" t="s">
        <v>502</v>
      </c>
      <c r="E187" s="22">
        <v>30701</v>
      </c>
      <c r="F187" s="63" t="s">
        <v>273</v>
      </c>
      <c r="G187" s="34">
        <v>6</v>
      </c>
      <c r="H187" s="64">
        <v>6.47</v>
      </c>
      <c r="I187" s="67">
        <v>-6.9999999999999993E-3</v>
      </c>
      <c r="J187" s="34">
        <v>1</v>
      </c>
      <c r="K187" s="66">
        <v>0.16666666666666666</v>
      </c>
    </row>
    <row r="188" spans="2:11" x14ac:dyDescent="0.35">
      <c r="B188" s="22">
        <v>307</v>
      </c>
      <c r="C188" s="22" t="s">
        <v>508</v>
      </c>
      <c r="D188" s="22" t="s">
        <v>502</v>
      </c>
      <c r="E188" s="22">
        <v>30702</v>
      </c>
      <c r="F188" s="63" t="s">
        <v>274</v>
      </c>
      <c r="G188" s="34" t="s">
        <v>464</v>
      </c>
      <c r="H188" s="64"/>
      <c r="I188" s="67"/>
      <c r="J188" s="34"/>
      <c r="K188" s="22"/>
    </row>
    <row r="189" spans="2:11" x14ac:dyDescent="0.35">
      <c r="B189" s="22">
        <v>307</v>
      </c>
      <c r="C189" s="22" t="s">
        <v>508</v>
      </c>
      <c r="D189" s="22" t="s">
        <v>502</v>
      </c>
      <c r="E189" s="22">
        <v>30703</v>
      </c>
      <c r="F189" s="63" t="s">
        <v>275</v>
      </c>
      <c r="G189" s="34" t="s">
        <v>464</v>
      </c>
      <c r="H189" s="64"/>
      <c r="I189" s="67"/>
      <c r="J189" s="34"/>
      <c r="K189" s="22"/>
    </row>
    <row r="190" spans="2:11" x14ac:dyDescent="0.35">
      <c r="B190" s="22">
        <v>308</v>
      </c>
      <c r="C190" s="22" t="s">
        <v>509</v>
      </c>
      <c r="D190" s="22" t="s">
        <v>502</v>
      </c>
      <c r="E190" s="22">
        <v>30801</v>
      </c>
      <c r="F190" s="63" t="s">
        <v>276</v>
      </c>
      <c r="G190" s="34" t="s">
        <v>464</v>
      </c>
      <c r="H190" s="64"/>
      <c r="I190" s="67"/>
      <c r="J190" s="34"/>
      <c r="K190" s="22"/>
    </row>
    <row r="191" spans="2:11" x14ac:dyDescent="0.35">
      <c r="B191" s="22">
        <v>308</v>
      </c>
      <c r="C191" s="22" t="s">
        <v>509</v>
      </c>
      <c r="D191" s="22" t="s">
        <v>502</v>
      </c>
      <c r="E191" s="22">
        <v>30803</v>
      </c>
      <c r="F191" s="63" t="s">
        <v>277</v>
      </c>
      <c r="G191" s="34">
        <v>18</v>
      </c>
      <c r="H191" s="64">
        <v>6.56</v>
      </c>
      <c r="I191" s="67">
        <v>8.0000000000000002E-3</v>
      </c>
      <c r="J191" s="34"/>
      <c r="K191" s="22"/>
    </row>
    <row r="192" spans="2:11" x14ac:dyDescent="0.35">
      <c r="B192" s="22">
        <v>308</v>
      </c>
      <c r="C192" s="22" t="s">
        <v>509</v>
      </c>
      <c r="D192" s="22" t="s">
        <v>502</v>
      </c>
      <c r="E192" s="22">
        <v>30804</v>
      </c>
      <c r="F192" s="63" t="s">
        <v>278</v>
      </c>
      <c r="G192" s="34" t="s">
        <v>464</v>
      </c>
      <c r="H192" s="64"/>
      <c r="I192" s="67"/>
      <c r="J192" s="34"/>
      <c r="K192" s="22"/>
    </row>
    <row r="193" spans="2:11" x14ac:dyDescent="0.35">
      <c r="B193" s="22">
        <v>308</v>
      </c>
      <c r="C193" s="22" t="s">
        <v>509</v>
      </c>
      <c r="D193" s="22" t="s">
        <v>502</v>
      </c>
      <c r="E193" s="22">
        <v>30805</v>
      </c>
      <c r="F193" s="63" t="s">
        <v>279</v>
      </c>
      <c r="G193" s="34">
        <v>7</v>
      </c>
      <c r="H193" s="64">
        <v>6.9</v>
      </c>
      <c r="I193" s="67">
        <v>-3.3000000000000002E-2</v>
      </c>
      <c r="J193" s="34"/>
      <c r="K193" s="22"/>
    </row>
    <row r="194" spans="2:11" x14ac:dyDescent="0.35">
      <c r="B194" s="22">
        <v>309</v>
      </c>
      <c r="C194" s="22" t="s">
        <v>510</v>
      </c>
      <c r="D194" s="22" t="s">
        <v>502</v>
      </c>
      <c r="E194" s="22">
        <v>30901</v>
      </c>
      <c r="F194" s="63" t="s">
        <v>280</v>
      </c>
      <c r="G194" s="34">
        <v>6</v>
      </c>
      <c r="H194" s="64">
        <v>6.29</v>
      </c>
      <c r="I194" s="67">
        <v>-1E-3</v>
      </c>
      <c r="J194" s="34"/>
      <c r="K194" s="22"/>
    </row>
    <row r="195" spans="2:11" x14ac:dyDescent="0.35">
      <c r="B195" s="22">
        <v>309</v>
      </c>
      <c r="C195" s="22" t="s">
        <v>510</v>
      </c>
      <c r="D195" s="22" t="s">
        <v>502</v>
      </c>
      <c r="E195" s="22">
        <v>30902</v>
      </c>
      <c r="F195" s="63" t="s">
        <v>281</v>
      </c>
      <c r="G195" s="34">
        <v>5</v>
      </c>
      <c r="H195" s="64">
        <v>6.21</v>
      </c>
      <c r="I195" s="67"/>
      <c r="J195" s="34"/>
      <c r="K195" s="22"/>
    </row>
    <row r="196" spans="2:11" x14ac:dyDescent="0.35">
      <c r="B196" s="22">
        <v>309</v>
      </c>
      <c r="C196" s="22" t="s">
        <v>510</v>
      </c>
      <c r="D196" s="22" t="s">
        <v>502</v>
      </c>
      <c r="E196" s="22">
        <v>30903</v>
      </c>
      <c r="F196" s="63" t="s">
        <v>282</v>
      </c>
      <c r="G196" s="34">
        <v>6</v>
      </c>
      <c r="H196" s="64">
        <v>6.49</v>
      </c>
      <c r="I196" s="67">
        <v>-2.8999999999999998E-2</v>
      </c>
      <c r="J196" s="34"/>
      <c r="K196" s="22"/>
    </row>
    <row r="197" spans="2:11" x14ac:dyDescent="0.35">
      <c r="B197" s="22">
        <v>309</v>
      </c>
      <c r="C197" s="22" t="s">
        <v>510</v>
      </c>
      <c r="D197" s="22" t="s">
        <v>502</v>
      </c>
      <c r="E197" s="22">
        <v>30904</v>
      </c>
      <c r="F197" s="63" t="s">
        <v>283</v>
      </c>
      <c r="G197" s="34" t="s">
        <v>464</v>
      </c>
      <c r="H197" s="64"/>
      <c r="I197" s="67"/>
      <c r="J197" s="34"/>
      <c r="K197" s="22"/>
    </row>
    <row r="198" spans="2:11" x14ac:dyDescent="0.35">
      <c r="B198" s="22">
        <v>309</v>
      </c>
      <c r="C198" s="22" t="s">
        <v>510</v>
      </c>
      <c r="D198" s="22" t="s">
        <v>502</v>
      </c>
      <c r="E198" s="22">
        <v>30905</v>
      </c>
      <c r="F198" s="63" t="s">
        <v>284</v>
      </c>
      <c r="G198" s="34">
        <v>8</v>
      </c>
      <c r="H198" s="64">
        <v>6.93</v>
      </c>
      <c r="I198" s="67">
        <v>-7.400000000000001E-2</v>
      </c>
      <c r="J198" s="34"/>
      <c r="K198" s="22"/>
    </row>
    <row r="199" spans="2:11" x14ac:dyDescent="0.35">
      <c r="B199" s="22">
        <v>309</v>
      </c>
      <c r="C199" s="22" t="s">
        <v>510</v>
      </c>
      <c r="D199" s="22" t="s">
        <v>502</v>
      </c>
      <c r="E199" s="22">
        <v>30906</v>
      </c>
      <c r="F199" s="63" t="s">
        <v>285</v>
      </c>
      <c r="G199" s="34">
        <v>12</v>
      </c>
      <c r="H199" s="64">
        <v>6.38</v>
      </c>
      <c r="I199" s="67">
        <v>0.01</v>
      </c>
      <c r="J199" s="34"/>
      <c r="K199" s="22"/>
    </row>
    <row r="200" spans="2:11" x14ac:dyDescent="0.35">
      <c r="B200" s="22">
        <v>309</v>
      </c>
      <c r="C200" s="22" t="s">
        <v>510</v>
      </c>
      <c r="D200" s="22" t="s">
        <v>502</v>
      </c>
      <c r="E200" s="22">
        <v>30907</v>
      </c>
      <c r="F200" s="63" t="s">
        <v>286</v>
      </c>
      <c r="G200" s="34">
        <v>20</v>
      </c>
      <c r="H200" s="64">
        <v>6.51</v>
      </c>
      <c r="I200" s="67">
        <v>-6.9999999999999993E-3</v>
      </c>
      <c r="J200" s="34"/>
      <c r="K200" s="22"/>
    </row>
    <row r="201" spans="2:11" x14ac:dyDescent="0.35">
      <c r="B201" s="22">
        <v>309</v>
      </c>
      <c r="C201" s="22" t="s">
        <v>510</v>
      </c>
      <c r="D201" s="22" t="s">
        <v>502</v>
      </c>
      <c r="E201" s="22">
        <v>30908</v>
      </c>
      <c r="F201" s="63" t="s">
        <v>287</v>
      </c>
      <c r="G201" s="34" t="s">
        <v>464</v>
      </c>
      <c r="H201" s="64"/>
      <c r="I201" s="67"/>
      <c r="J201" s="34"/>
      <c r="K201" s="22"/>
    </row>
    <row r="202" spans="2:11" x14ac:dyDescent="0.35">
      <c r="B202" s="22">
        <v>309</v>
      </c>
      <c r="C202" s="22" t="s">
        <v>510</v>
      </c>
      <c r="D202" s="22" t="s">
        <v>502</v>
      </c>
      <c r="E202" s="22">
        <v>30909</v>
      </c>
      <c r="F202" s="63" t="s">
        <v>288</v>
      </c>
      <c r="G202" s="34">
        <v>7</v>
      </c>
      <c r="H202" s="64">
        <v>5.97</v>
      </c>
      <c r="I202" s="67">
        <v>1.2E-2</v>
      </c>
      <c r="J202" s="34"/>
      <c r="K202" s="22"/>
    </row>
    <row r="203" spans="2:11" x14ac:dyDescent="0.35">
      <c r="B203" s="22">
        <v>309</v>
      </c>
      <c r="C203" s="22" t="s">
        <v>510</v>
      </c>
      <c r="D203" s="22" t="s">
        <v>502</v>
      </c>
      <c r="E203" s="22">
        <v>30910</v>
      </c>
      <c r="F203" s="63" t="s">
        <v>289</v>
      </c>
      <c r="G203" s="34" t="s">
        <v>464</v>
      </c>
      <c r="H203" s="64"/>
      <c r="I203" s="67"/>
      <c r="J203" s="34"/>
      <c r="K203" s="22"/>
    </row>
    <row r="204" spans="2:11" x14ac:dyDescent="0.35">
      <c r="B204" s="22">
        <v>310</v>
      </c>
      <c r="C204" s="22" t="s">
        <v>511</v>
      </c>
      <c r="D204" s="22" t="s">
        <v>502</v>
      </c>
      <c r="E204" s="22">
        <v>31001</v>
      </c>
      <c r="F204" s="63" t="s">
        <v>290</v>
      </c>
      <c r="G204" s="34">
        <v>8</v>
      </c>
      <c r="H204" s="64">
        <v>5.61</v>
      </c>
      <c r="I204" s="67">
        <v>-0.03</v>
      </c>
      <c r="J204" s="34"/>
      <c r="K204" s="22"/>
    </row>
    <row r="205" spans="2:11" x14ac:dyDescent="0.35">
      <c r="B205" s="22">
        <v>310</v>
      </c>
      <c r="C205" s="22" t="s">
        <v>511</v>
      </c>
      <c r="D205" s="22" t="s">
        <v>502</v>
      </c>
      <c r="E205" s="22">
        <v>31002</v>
      </c>
      <c r="F205" s="63" t="s">
        <v>291</v>
      </c>
      <c r="G205" s="34">
        <v>9</v>
      </c>
      <c r="H205" s="64">
        <v>6.08</v>
      </c>
      <c r="I205" s="67">
        <v>4.7E-2</v>
      </c>
      <c r="J205" s="34"/>
      <c r="K205" s="22"/>
    </row>
    <row r="206" spans="2:11" x14ac:dyDescent="0.35">
      <c r="B206" s="22">
        <v>310</v>
      </c>
      <c r="C206" s="22" t="s">
        <v>511</v>
      </c>
      <c r="D206" s="22" t="s">
        <v>502</v>
      </c>
      <c r="E206" s="22">
        <v>31003</v>
      </c>
      <c r="F206" s="63" t="s">
        <v>292</v>
      </c>
      <c r="G206" s="34">
        <v>22</v>
      </c>
      <c r="H206" s="64">
        <v>5.9</v>
      </c>
      <c r="I206" s="67">
        <v>4.0000000000000001E-3</v>
      </c>
      <c r="J206" s="34">
        <v>1</v>
      </c>
      <c r="K206" s="66">
        <v>4.5454545454545456E-2</v>
      </c>
    </row>
    <row r="207" spans="2:11" x14ac:dyDescent="0.35">
      <c r="B207" s="22">
        <v>310</v>
      </c>
      <c r="C207" s="22" t="s">
        <v>511</v>
      </c>
      <c r="D207" s="22" t="s">
        <v>502</v>
      </c>
      <c r="E207" s="22">
        <v>31004</v>
      </c>
      <c r="F207" s="63" t="s">
        <v>293</v>
      </c>
      <c r="G207" s="34">
        <v>18</v>
      </c>
      <c r="H207" s="64">
        <v>6.12</v>
      </c>
      <c r="I207" s="67">
        <v>-3.2000000000000001E-2</v>
      </c>
      <c r="J207" s="34"/>
      <c r="K207" s="22"/>
    </row>
    <row r="208" spans="2:11" x14ac:dyDescent="0.35">
      <c r="B208" s="22">
        <v>311</v>
      </c>
      <c r="C208" s="22" t="s">
        <v>512</v>
      </c>
      <c r="D208" s="22" t="s">
        <v>502</v>
      </c>
      <c r="E208" s="22">
        <v>31101</v>
      </c>
      <c r="F208" s="63" t="s">
        <v>294</v>
      </c>
      <c r="G208" s="34" t="s">
        <v>464</v>
      </c>
      <c r="H208" s="64"/>
      <c r="I208" s="67"/>
      <c r="J208" s="34"/>
      <c r="K208" s="22"/>
    </row>
    <row r="209" spans="2:11" x14ac:dyDescent="0.35">
      <c r="B209" s="22">
        <v>311</v>
      </c>
      <c r="C209" s="22" t="s">
        <v>512</v>
      </c>
      <c r="D209" s="22" t="s">
        <v>502</v>
      </c>
      <c r="E209" s="22">
        <v>31102</v>
      </c>
      <c r="F209" s="63" t="s">
        <v>295</v>
      </c>
      <c r="G209" s="34" t="s">
        <v>464</v>
      </c>
      <c r="H209" s="64"/>
      <c r="I209" s="67"/>
      <c r="J209" s="34"/>
      <c r="K209" s="22"/>
    </row>
    <row r="210" spans="2:11" x14ac:dyDescent="0.35">
      <c r="B210" s="22">
        <v>311</v>
      </c>
      <c r="C210" s="22" t="s">
        <v>512</v>
      </c>
      <c r="D210" s="22" t="s">
        <v>502</v>
      </c>
      <c r="E210" s="22">
        <v>31103</v>
      </c>
      <c r="F210" s="63" t="s">
        <v>296</v>
      </c>
      <c r="G210" s="34">
        <v>12</v>
      </c>
      <c r="H210" s="64">
        <v>5.93</v>
      </c>
      <c r="I210" s="67">
        <v>-3.0000000000000001E-3</v>
      </c>
      <c r="J210" s="34"/>
      <c r="K210" s="22"/>
    </row>
    <row r="211" spans="2:11" x14ac:dyDescent="0.35">
      <c r="B211" s="22">
        <v>311</v>
      </c>
      <c r="C211" s="22" t="s">
        <v>512</v>
      </c>
      <c r="D211" s="22" t="s">
        <v>502</v>
      </c>
      <c r="E211" s="22">
        <v>31104</v>
      </c>
      <c r="F211" s="63" t="s">
        <v>297</v>
      </c>
      <c r="G211" s="34">
        <v>9</v>
      </c>
      <c r="H211" s="64">
        <v>6.3</v>
      </c>
      <c r="I211" s="67">
        <v>-1.3000000000000001E-2</v>
      </c>
      <c r="J211" s="34"/>
      <c r="K211" s="22"/>
    </row>
    <row r="212" spans="2:11" x14ac:dyDescent="0.35">
      <c r="B212" s="22">
        <v>311</v>
      </c>
      <c r="C212" s="22" t="s">
        <v>512</v>
      </c>
      <c r="D212" s="22" t="s">
        <v>502</v>
      </c>
      <c r="E212" s="22">
        <v>31105</v>
      </c>
      <c r="F212" s="63" t="s">
        <v>298</v>
      </c>
      <c r="G212" s="34">
        <v>8</v>
      </c>
      <c r="H212" s="64">
        <v>6.06</v>
      </c>
      <c r="I212" s="67">
        <v>-2.2000000000000002E-2</v>
      </c>
      <c r="J212" s="34"/>
      <c r="K212" s="22"/>
    </row>
    <row r="213" spans="2:11" x14ac:dyDescent="0.35">
      <c r="B213" s="22">
        <v>311</v>
      </c>
      <c r="C213" s="22" t="s">
        <v>512</v>
      </c>
      <c r="D213" s="22" t="s">
        <v>502</v>
      </c>
      <c r="E213" s="22">
        <v>31106</v>
      </c>
      <c r="F213" s="63" t="s">
        <v>299</v>
      </c>
      <c r="G213" s="34">
        <v>12</v>
      </c>
      <c r="H213" s="64">
        <v>6.11</v>
      </c>
      <c r="I213" s="67">
        <v>1.3000000000000001E-2</v>
      </c>
      <c r="J213" s="34"/>
      <c r="K213" s="22"/>
    </row>
    <row r="214" spans="2:11" x14ac:dyDescent="0.35">
      <c r="B214" s="22">
        <v>312</v>
      </c>
      <c r="C214" s="22" t="s">
        <v>513</v>
      </c>
      <c r="D214" s="22" t="s">
        <v>502</v>
      </c>
      <c r="E214" s="22">
        <v>31201</v>
      </c>
      <c r="F214" s="63" t="s">
        <v>300</v>
      </c>
      <c r="G214" s="34" t="s">
        <v>464</v>
      </c>
      <c r="H214" s="64"/>
      <c r="I214" s="67"/>
      <c r="J214" s="34"/>
      <c r="K214" s="22"/>
    </row>
    <row r="215" spans="2:11" x14ac:dyDescent="0.35">
      <c r="B215" s="22">
        <v>312</v>
      </c>
      <c r="C215" s="22" t="s">
        <v>513</v>
      </c>
      <c r="D215" s="22" t="s">
        <v>502</v>
      </c>
      <c r="E215" s="22">
        <v>31202</v>
      </c>
      <c r="F215" s="63" t="s">
        <v>301</v>
      </c>
      <c r="G215" s="34">
        <v>20</v>
      </c>
      <c r="H215" s="64">
        <v>7.03</v>
      </c>
      <c r="I215" s="67">
        <v>-3.4000000000000002E-2</v>
      </c>
      <c r="J215" s="34"/>
      <c r="K215" s="22"/>
    </row>
    <row r="216" spans="2:11" x14ac:dyDescent="0.35">
      <c r="B216" s="22">
        <v>312</v>
      </c>
      <c r="C216" s="22" t="s">
        <v>513</v>
      </c>
      <c r="D216" s="22" t="s">
        <v>502</v>
      </c>
      <c r="E216" s="22">
        <v>31203</v>
      </c>
      <c r="F216" s="63" t="s">
        <v>302</v>
      </c>
      <c r="G216" s="34">
        <v>6</v>
      </c>
      <c r="H216" s="64">
        <v>6.94</v>
      </c>
      <c r="I216" s="67"/>
      <c r="J216" s="34"/>
      <c r="K216" s="22"/>
    </row>
    <row r="217" spans="2:11" x14ac:dyDescent="0.35">
      <c r="B217" s="22">
        <v>313</v>
      </c>
      <c r="C217" s="22" t="s">
        <v>514</v>
      </c>
      <c r="D217" s="22" t="s">
        <v>502</v>
      </c>
      <c r="E217" s="22">
        <v>31301</v>
      </c>
      <c r="F217" s="63" t="s">
        <v>303</v>
      </c>
      <c r="G217" s="34" t="s">
        <v>464</v>
      </c>
      <c r="H217" s="64"/>
      <c r="I217" s="67"/>
      <c r="J217" s="34"/>
      <c r="K217" s="22"/>
    </row>
    <row r="218" spans="2:11" x14ac:dyDescent="0.35">
      <c r="B218" s="22">
        <v>313</v>
      </c>
      <c r="C218" s="22" t="s">
        <v>514</v>
      </c>
      <c r="D218" s="22" t="s">
        <v>502</v>
      </c>
      <c r="E218" s="22">
        <v>31302</v>
      </c>
      <c r="F218" s="63" t="s">
        <v>304</v>
      </c>
      <c r="G218" s="34">
        <v>13</v>
      </c>
      <c r="H218" s="64">
        <v>6.51</v>
      </c>
      <c r="I218" s="67">
        <v>-2.7000000000000003E-2</v>
      </c>
      <c r="J218" s="34"/>
      <c r="K218" s="22"/>
    </row>
    <row r="219" spans="2:11" x14ac:dyDescent="0.35">
      <c r="B219" s="22">
        <v>313</v>
      </c>
      <c r="C219" s="22" t="s">
        <v>514</v>
      </c>
      <c r="D219" s="22" t="s">
        <v>502</v>
      </c>
      <c r="E219" s="22">
        <v>31304</v>
      </c>
      <c r="F219" s="63" t="s">
        <v>306</v>
      </c>
      <c r="G219" s="34">
        <v>9</v>
      </c>
      <c r="H219" s="64">
        <v>6.15</v>
      </c>
      <c r="I219" s="67">
        <v>1.8000000000000002E-2</v>
      </c>
      <c r="J219" s="34"/>
      <c r="K219" s="22"/>
    </row>
    <row r="220" spans="2:11" x14ac:dyDescent="0.35">
      <c r="B220" s="22">
        <v>313</v>
      </c>
      <c r="C220" s="22" t="s">
        <v>514</v>
      </c>
      <c r="D220" s="22" t="s">
        <v>502</v>
      </c>
      <c r="E220" s="22">
        <v>31305</v>
      </c>
      <c r="F220" s="63" t="s">
        <v>307</v>
      </c>
      <c r="G220" s="34">
        <v>10</v>
      </c>
      <c r="H220" s="64">
        <v>6.96</v>
      </c>
      <c r="I220" s="67">
        <v>-2.8999999999999998E-2</v>
      </c>
      <c r="J220" s="34"/>
      <c r="K220" s="22"/>
    </row>
    <row r="221" spans="2:11" x14ac:dyDescent="0.35">
      <c r="B221" s="22">
        <v>314</v>
      </c>
      <c r="C221" s="22" t="s">
        <v>515</v>
      </c>
      <c r="D221" s="22" t="s">
        <v>502</v>
      </c>
      <c r="E221" s="22">
        <v>31401</v>
      </c>
      <c r="F221" s="63" t="s">
        <v>308</v>
      </c>
      <c r="G221" s="34">
        <v>12</v>
      </c>
      <c r="H221" s="64">
        <v>5.96</v>
      </c>
      <c r="I221" s="67">
        <v>2.7999999999999997E-2</v>
      </c>
      <c r="J221" s="34"/>
      <c r="K221" s="22"/>
    </row>
    <row r="222" spans="2:11" x14ac:dyDescent="0.35">
      <c r="B222" s="22">
        <v>314</v>
      </c>
      <c r="C222" s="22" t="s">
        <v>515</v>
      </c>
      <c r="D222" s="22" t="s">
        <v>502</v>
      </c>
      <c r="E222" s="22">
        <v>31402</v>
      </c>
      <c r="F222" s="63" t="s">
        <v>309</v>
      </c>
      <c r="G222" s="34">
        <v>11</v>
      </c>
      <c r="H222" s="64">
        <v>6.17</v>
      </c>
      <c r="I222" s="67">
        <v>6.9999999999999993E-3</v>
      </c>
      <c r="J222" s="34"/>
      <c r="K222" s="22"/>
    </row>
    <row r="223" spans="2:11" x14ac:dyDescent="0.35">
      <c r="B223" s="22">
        <v>314</v>
      </c>
      <c r="C223" s="22" t="s">
        <v>515</v>
      </c>
      <c r="D223" s="22" t="s">
        <v>502</v>
      </c>
      <c r="E223" s="22">
        <v>31403</v>
      </c>
      <c r="F223" s="63" t="s">
        <v>310</v>
      </c>
      <c r="G223" s="34">
        <v>8</v>
      </c>
      <c r="H223" s="64">
        <v>6.5</v>
      </c>
      <c r="I223" s="67">
        <v>1.3000000000000001E-2</v>
      </c>
      <c r="J223" s="34"/>
      <c r="K223" s="22"/>
    </row>
    <row r="224" spans="2:11" x14ac:dyDescent="0.35">
      <c r="B224" s="22">
        <v>315</v>
      </c>
      <c r="C224" s="22" t="s">
        <v>516</v>
      </c>
      <c r="D224" s="22" t="s">
        <v>502</v>
      </c>
      <c r="E224" s="22">
        <v>31501</v>
      </c>
      <c r="F224" s="63" t="s">
        <v>311</v>
      </c>
      <c r="G224" s="34">
        <v>9</v>
      </c>
      <c r="H224" s="64">
        <v>3.1</v>
      </c>
      <c r="I224" s="67"/>
      <c r="J224" s="34"/>
      <c r="K224" s="22"/>
    </row>
    <row r="225" spans="2:11" x14ac:dyDescent="0.35">
      <c r="B225" s="22">
        <v>315</v>
      </c>
      <c r="C225" s="22" t="s">
        <v>516</v>
      </c>
      <c r="D225" s="22" t="s">
        <v>502</v>
      </c>
      <c r="E225" s="22">
        <v>31502</v>
      </c>
      <c r="F225" s="63" t="s">
        <v>312</v>
      </c>
      <c r="G225" s="34">
        <v>6</v>
      </c>
      <c r="H225" s="64">
        <v>6.88</v>
      </c>
      <c r="I225" s="67">
        <v>3.4000000000000002E-2</v>
      </c>
      <c r="J225" s="34"/>
      <c r="K225" s="22"/>
    </row>
    <row r="226" spans="2:11" x14ac:dyDescent="0.35">
      <c r="B226" s="22">
        <v>315</v>
      </c>
      <c r="C226" s="22" t="s">
        <v>516</v>
      </c>
      <c r="D226" s="22" t="s">
        <v>502</v>
      </c>
      <c r="E226" s="22">
        <v>31503</v>
      </c>
      <c r="F226" s="63" t="s">
        <v>313</v>
      </c>
      <c r="G226" s="34" t="s">
        <v>464</v>
      </c>
      <c r="H226" s="64"/>
      <c r="I226" s="67"/>
      <c r="J226" s="34"/>
      <c r="K226" s="22"/>
    </row>
    <row r="227" spans="2:11" x14ac:dyDescent="0.35">
      <c r="B227" s="22">
        <v>316</v>
      </c>
      <c r="C227" s="22" t="s">
        <v>517</v>
      </c>
      <c r="D227" s="22" t="s">
        <v>502</v>
      </c>
      <c r="E227" s="22">
        <v>31601</v>
      </c>
      <c r="F227" s="63" t="s">
        <v>314</v>
      </c>
      <c r="G227" s="34">
        <v>8</v>
      </c>
      <c r="H227" s="64">
        <v>6.34</v>
      </c>
      <c r="I227" s="67">
        <v>-1.8000000000000002E-2</v>
      </c>
      <c r="J227" s="34"/>
      <c r="K227" s="22"/>
    </row>
    <row r="228" spans="2:11" x14ac:dyDescent="0.35">
      <c r="B228" s="22">
        <v>316</v>
      </c>
      <c r="C228" s="22" t="s">
        <v>517</v>
      </c>
      <c r="D228" s="22" t="s">
        <v>502</v>
      </c>
      <c r="E228" s="22">
        <v>31602</v>
      </c>
      <c r="F228" s="63" t="s">
        <v>315</v>
      </c>
      <c r="G228" s="34">
        <v>14</v>
      </c>
      <c r="H228" s="64">
        <v>6.48</v>
      </c>
      <c r="I228" s="67">
        <v>1E-3</v>
      </c>
      <c r="J228" s="34"/>
      <c r="K228" s="22"/>
    </row>
    <row r="229" spans="2:11" x14ac:dyDescent="0.35">
      <c r="B229" s="22">
        <v>316</v>
      </c>
      <c r="C229" s="22" t="s">
        <v>517</v>
      </c>
      <c r="D229" s="22" t="s">
        <v>502</v>
      </c>
      <c r="E229" s="22">
        <v>31603</v>
      </c>
      <c r="F229" s="63" t="s">
        <v>316</v>
      </c>
      <c r="G229" s="34">
        <v>6</v>
      </c>
      <c r="H229" s="64">
        <v>6.73</v>
      </c>
      <c r="I229" s="67">
        <v>5.2999999999999999E-2</v>
      </c>
      <c r="J229" s="34"/>
      <c r="K229" s="22"/>
    </row>
    <row r="230" spans="2:11" x14ac:dyDescent="0.35">
      <c r="B230" s="22">
        <v>316</v>
      </c>
      <c r="C230" s="22" t="s">
        <v>517</v>
      </c>
      <c r="D230" s="22" t="s">
        <v>502</v>
      </c>
      <c r="E230" s="22">
        <v>31605</v>
      </c>
      <c r="F230" s="63" t="s">
        <v>317</v>
      </c>
      <c r="G230" s="34" t="s">
        <v>464</v>
      </c>
      <c r="H230" s="64"/>
      <c r="I230" s="67"/>
      <c r="J230" s="34"/>
      <c r="K230" s="22"/>
    </row>
    <row r="231" spans="2:11" x14ac:dyDescent="0.35">
      <c r="B231" s="22">
        <v>316</v>
      </c>
      <c r="C231" s="22" t="s">
        <v>517</v>
      </c>
      <c r="D231" s="22" t="s">
        <v>502</v>
      </c>
      <c r="E231" s="22">
        <v>31606</v>
      </c>
      <c r="F231" s="63" t="s">
        <v>318</v>
      </c>
      <c r="G231" s="34">
        <v>8</v>
      </c>
      <c r="H231" s="64">
        <v>6.45</v>
      </c>
      <c r="I231" s="67">
        <v>-3.9E-2</v>
      </c>
      <c r="J231" s="34"/>
      <c r="K231" s="22"/>
    </row>
    <row r="232" spans="2:11" x14ac:dyDescent="0.35">
      <c r="B232" s="22">
        <v>316</v>
      </c>
      <c r="C232" s="22" t="s">
        <v>517</v>
      </c>
      <c r="D232" s="22" t="s">
        <v>502</v>
      </c>
      <c r="E232" s="22">
        <v>31607</v>
      </c>
      <c r="F232" s="63" t="s">
        <v>319</v>
      </c>
      <c r="G232" s="34">
        <v>9</v>
      </c>
      <c r="H232" s="64">
        <v>6.73</v>
      </c>
      <c r="I232" s="67">
        <v>-8.0000000000000002E-3</v>
      </c>
      <c r="J232" s="34"/>
      <c r="K232" s="22"/>
    </row>
    <row r="233" spans="2:11" x14ac:dyDescent="0.35">
      <c r="B233" s="22">
        <v>316</v>
      </c>
      <c r="C233" s="22" t="s">
        <v>517</v>
      </c>
      <c r="D233" s="22" t="s">
        <v>502</v>
      </c>
      <c r="E233" s="22">
        <v>31608</v>
      </c>
      <c r="F233" s="63" t="s">
        <v>320</v>
      </c>
      <c r="G233" s="34" t="s">
        <v>464</v>
      </c>
      <c r="H233" s="64"/>
      <c r="I233" s="67"/>
      <c r="J233" s="34"/>
      <c r="K233" s="22"/>
    </row>
    <row r="234" spans="2:11" x14ac:dyDescent="0.35">
      <c r="B234" s="22">
        <v>317</v>
      </c>
      <c r="C234" s="22" t="s">
        <v>321</v>
      </c>
      <c r="D234" s="22" t="s">
        <v>502</v>
      </c>
      <c r="E234" s="22">
        <v>31701</v>
      </c>
      <c r="F234" s="63" t="s">
        <v>321</v>
      </c>
      <c r="G234" s="34">
        <v>37</v>
      </c>
      <c r="H234" s="64">
        <v>6.91</v>
      </c>
      <c r="I234" s="67">
        <v>-0.01</v>
      </c>
      <c r="J234" s="34">
        <v>2</v>
      </c>
      <c r="K234" s="66">
        <v>5.4054054054054057E-2</v>
      </c>
    </row>
    <row r="235" spans="2:11" x14ac:dyDescent="0.35">
      <c r="B235" s="22">
        <v>318</v>
      </c>
      <c r="C235" s="22" t="s">
        <v>323</v>
      </c>
      <c r="D235" s="22" t="s">
        <v>502</v>
      </c>
      <c r="E235" s="22">
        <v>31801</v>
      </c>
      <c r="F235" s="63" t="s">
        <v>322</v>
      </c>
      <c r="G235" s="34" t="s">
        <v>464</v>
      </c>
      <c r="H235" s="64"/>
      <c r="I235" s="67"/>
      <c r="J235" s="34"/>
      <c r="K235" s="22"/>
    </row>
    <row r="236" spans="2:11" x14ac:dyDescent="0.35">
      <c r="B236" s="22">
        <v>318</v>
      </c>
      <c r="C236" s="22" t="s">
        <v>323</v>
      </c>
      <c r="D236" s="22" t="s">
        <v>502</v>
      </c>
      <c r="E236" s="22">
        <v>31802</v>
      </c>
      <c r="F236" s="63" t="s">
        <v>323</v>
      </c>
      <c r="G236" s="34">
        <v>36</v>
      </c>
      <c r="H236" s="64">
        <v>6.61</v>
      </c>
      <c r="I236" s="67">
        <v>-0.05</v>
      </c>
      <c r="J236" s="34"/>
      <c r="K236" s="22"/>
    </row>
    <row r="237" spans="2:11" x14ac:dyDescent="0.35">
      <c r="B237" s="22">
        <v>319</v>
      </c>
      <c r="C237" s="22" t="s">
        <v>518</v>
      </c>
      <c r="D237" s="22" t="s">
        <v>502</v>
      </c>
      <c r="E237" s="22">
        <v>31901</v>
      </c>
      <c r="F237" s="63" t="s">
        <v>324</v>
      </c>
      <c r="G237" s="34">
        <v>16</v>
      </c>
      <c r="H237" s="64">
        <v>6.25</v>
      </c>
      <c r="I237" s="67">
        <v>3.0000000000000001E-3</v>
      </c>
      <c r="J237" s="34"/>
      <c r="K237" s="22"/>
    </row>
    <row r="238" spans="2:11" x14ac:dyDescent="0.35">
      <c r="B238" s="22">
        <v>319</v>
      </c>
      <c r="C238" s="22" t="s">
        <v>518</v>
      </c>
      <c r="D238" s="22" t="s">
        <v>502</v>
      </c>
      <c r="E238" s="22">
        <v>31902</v>
      </c>
      <c r="F238" s="63" t="s">
        <v>325</v>
      </c>
      <c r="G238" s="34" t="s">
        <v>464</v>
      </c>
      <c r="H238" s="64"/>
      <c r="I238" s="67"/>
      <c r="J238" s="34"/>
      <c r="K238" s="22"/>
    </row>
    <row r="239" spans="2:11" x14ac:dyDescent="0.35">
      <c r="B239" s="22">
        <v>319</v>
      </c>
      <c r="C239" s="22" t="s">
        <v>518</v>
      </c>
      <c r="D239" s="22" t="s">
        <v>502</v>
      </c>
      <c r="E239" s="22">
        <v>31903</v>
      </c>
      <c r="F239" s="63" t="s">
        <v>326</v>
      </c>
      <c r="G239" s="34" t="s">
        <v>464</v>
      </c>
      <c r="H239" s="64"/>
      <c r="I239" s="67"/>
      <c r="J239" s="34"/>
      <c r="K239" s="22"/>
    </row>
    <row r="240" spans="2:11" x14ac:dyDescent="0.35">
      <c r="B240" s="22">
        <v>319</v>
      </c>
      <c r="C240" s="22" t="s">
        <v>518</v>
      </c>
      <c r="D240" s="22" t="s">
        <v>502</v>
      </c>
      <c r="E240" s="22">
        <v>31904</v>
      </c>
      <c r="F240" s="63" t="s">
        <v>327</v>
      </c>
      <c r="G240" s="34">
        <v>11</v>
      </c>
      <c r="H240" s="64">
        <v>5.88</v>
      </c>
      <c r="I240" s="67">
        <v>-7.4999999999999997E-2</v>
      </c>
      <c r="J240" s="34"/>
      <c r="K240" s="22"/>
    </row>
    <row r="241" spans="2:11" x14ac:dyDescent="0.35">
      <c r="B241" s="22">
        <v>319</v>
      </c>
      <c r="C241" s="22" t="s">
        <v>518</v>
      </c>
      <c r="D241" s="22" t="s">
        <v>502</v>
      </c>
      <c r="E241" s="22">
        <v>31905</v>
      </c>
      <c r="F241" s="63" t="s">
        <v>328</v>
      </c>
      <c r="G241" s="34" t="s">
        <v>464</v>
      </c>
      <c r="H241" s="64"/>
      <c r="I241" s="67"/>
      <c r="J241" s="34"/>
      <c r="K241" s="22"/>
    </row>
    <row r="242" spans="2:11" x14ac:dyDescent="0.35">
      <c r="B242" s="22">
        <v>401</v>
      </c>
      <c r="C242" s="22" t="s">
        <v>519</v>
      </c>
      <c r="D242" s="22" t="s">
        <v>520</v>
      </c>
      <c r="E242" s="22">
        <v>40101</v>
      </c>
      <c r="F242" s="63" t="s">
        <v>329</v>
      </c>
      <c r="G242" s="34">
        <v>7</v>
      </c>
      <c r="H242" s="64">
        <v>6.5</v>
      </c>
      <c r="I242" s="67">
        <v>-0.18</v>
      </c>
      <c r="J242" s="34"/>
      <c r="K242" s="22"/>
    </row>
    <row r="243" spans="2:11" x14ac:dyDescent="0.35">
      <c r="B243" s="22">
        <v>401</v>
      </c>
      <c r="C243" s="22" t="s">
        <v>519</v>
      </c>
      <c r="D243" s="22" t="s">
        <v>520</v>
      </c>
      <c r="E243" s="22">
        <v>40102</v>
      </c>
      <c r="F243" s="63" t="s">
        <v>330</v>
      </c>
      <c r="G243" s="34">
        <v>29</v>
      </c>
      <c r="H243" s="64">
        <v>7.62</v>
      </c>
      <c r="I243" s="67">
        <v>-6.9999999999999993E-3</v>
      </c>
      <c r="J243" s="34">
        <v>3</v>
      </c>
      <c r="K243" s="66">
        <v>0.10344827586206896</v>
      </c>
    </row>
    <row r="244" spans="2:11" x14ac:dyDescent="0.35">
      <c r="B244" s="22">
        <v>401</v>
      </c>
      <c r="C244" s="22" t="s">
        <v>519</v>
      </c>
      <c r="D244" s="22" t="s">
        <v>520</v>
      </c>
      <c r="E244" s="22">
        <v>40103</v>
      </c>
      <c r="F244" s="63" t="s">
        <v>331</v>
      </c>
      <c r="G244" s="34">
        <v>9</v>
      </c>
      <c r="H244" s="64">
        <v>7.58</v>
      </c>
      <c r="I244" s="67">
        <v>-9.4E-2</v>
      </c>
      <c r="J244" s="34">
        <v>1</v>
      </c>
      <c r="K244" s="66">
        <v>0.1111111111111111</v>
      </c>
    </row>
    <row r="245" spans="2:11" x14ac:dyDescent="0.35">
      <c r="B245" s="22">
        <v>401</v>
      </c>
      <c r="C245" s="22" t="s">
        <v>519</v>
      </c>
      <c r="D245" s="22" t="s">
        <v>520</v>
      </c>
      <c r="E245" s="22">
        <v>40104</v>
      </c>
      <c r="F245" s="63" t="s">
        <v>332</v>
      </c>
      <c r="G245" s="34">
        <v>12</v>
      </c>
      <c r="H245" s="64">
        <v>6.55</v>
      </c>
      <c r="I245" s="67">
        <v>-0.10099999999999999</v>
      </c>
      <c r="J245" s="34"/>
      <c r="K245" s="22"/>
    </row>
    <row r="246" spans="2:11" x14ac:dyDescent="0.35">
      <c r="B246" s="22">
        <v>401</v>
      </c>
      <c r="C246" s="22" t="s">
        <v>519</v>
      </c>
      <c r="D246" s="22" t="s">
        <v>520</v>
      </c>
      <c r="E246" s="22">
        <v>40105</v>
      </c>
      <c r="F246" s="63" t="s">
        <v>333</v>
      </c>
      <c r="G246" s="34">
        <v>12</v>
      </c>
      <c r="H246" s="64">
        <v>6.79</v>
      </c>
      <c r="I246" s="67">
        <v>-0.13699999999999998</v>
      </c>
      <c r="J246" s="34"/>
      <c r="K246" s="22"/>
    </row>
    <row r="247" spans="2:11" x14ac:dyDescent="0.35">
      <c r="B247" s="22">
        <v>401</v>
      </c>
      <c r="C247" s="22" t="s">
        <v>519</v>
      </c>
      <c r="D247" s="22" t="s">
        <v>520</v>
      </c>
      <c r="E247" s="22">
        <v>40106</v>
      </c>
      <c r="F247" s="63" t="s">
        <v>334</v>
      </c>
      <c r="G247" s="34">
        <v>10</v>
      </c>
      <c r="H247" s="64">
        <v>7.26</v>
      </c>
      <c r="I247" s="67">
        <v>-0.22399999999999998</v>
      </c>
      <c r="J247" s="34">
        <v>1</v>
      </c>
      <c r="K247" s="66">
        <v>0.1</v>
      </c>
    </row>
    <row r="248" spans="2:11" x14ac:dyDescent="0.35">
      <c r="B248" s="22">
        <v>401</v>
      </c>
      <c r="C248" s="22" t="s">
        <v>519</v>
      </c>
      <c r="D248" s="22" t="s">
        <v>520</v>
      </c>
      <c r="E248" s="22">
        <v>40107</v>
      </c>
      <c r="F248" s="63" t="s">
        <v>335</v>
      </c>
      <c r="G248" s="34">
        <v>12</v>
      </c>
      <c r="H248" s="64">
        <v>6.9</v>
      </c>
      <c r="I248" s="67">
        <v>-0.12</v>
      </c>
      <c r="J248" s="34"/>
      <c r="K248" s="22"/>
    </row>
    <row r="249" spans="2:11" x14ac:dyDescent="0.35">
      <c r="B249" s="22">
        <v>402</v>
      </c>
      <c r="C249" s="22" t="s">
        <v>521</v>
      </c>
      <c r="D249" s="22" t="s">
        <v>520</v>
      </c>
      <c r="E249" s="22">
        <v>40201</v>
      </c>
      <c r="F249" s="63" t="s">
        <v>336</v>
      </c>
      <c r="G249" s="34">
        <v>10</v>
      </c>
      <c r="H249" s="64">
        <v>6.84</v>
      </c>
      <c r="I249" s="67">
        <v>-7.2000000000000008E-2</v>
      </c>
      <c r="J249" s="34"/>
      <c r="K249" s="22"/>
    </row>
    <row r="250" spans="2:11" x14ac:dyDescent="0.35">
      <c r="B250" s="22">
        <v>402</v>
      </c>
      <c r="C250" s="22" t="s">
        <v>521</v>
      </c>
      <c r="D250" s="22" t="s">
        <v>520</v>
      </c>
      <c r="E250" s="22">
        <v>40202</v>
      </c>
      <c r="F250" s="63" t="s">
        <v>337</v>
      </c>
      <c r="G250" s="34">
        <v>21</v>
      </c>
      <c r="H250" s="64">
        <v>6.4</v>
      </c>
      <c r="I250" s="67">
        <v>-3.9E-2</v>
      </c>
      <c r="J250" s="34">
        <v>1</v>
      </c>
      <c r="K250" s="66">
        <v>4.7619047619047616E-2</v>
      </c>
    </row>
    <row r="251" spans="2:11" x14ac:dyDescent="0.35">
      <c r="B251" s="22">
        <v>402</v>
      </c>
      <c r="C251" s="22" t="s">
        <v>521</v>
      </c>
      <c r="D251" s="22" t="s">
        <v>520</v>
      </c>
      <c r="E251" s="22">
        <v>40203</v>
      </c>
      <c r="F251" s="63" t="s">
        <v>338</v>
      </c>
      <c r="G251" s="34">
        <v>12</v>
      </c>
      <c r="H251" s="64">
        <v>7.07</v>
      </c>
      <c r="I251" s="67">
        <v>-6.2E-2</v>
      </c>
      <c r="J251" s="34"/>
      <c r="K251" s="22"/>
    </row>
    <row r="252" spans="2:11" x14ac:dyDescent="0.35">
      <c r="B252" s="22">
        <v>402</v>
      </c>
      <c r="C252" s="22" t="s">
        <v>521</v>
      </c>
      <c r="D252" s="22" t="s">
        <v>520</v>
      </c>
      <c r="E252" s="22">
        <v>40204</v>
      </c>
      <c r="F252" s="63" t="s">
        <v>339</v>
      </c>
      <c r="G252" s="34">
        <v>26</v>
      </c>
      <c r="H252" s="64">
        <v>6.23</v>
      </c>
      <c r="I252" s="67">
        <v>-4.8000000000000001E-2</v>
      </c>
      <c r="J252" s="34"/>
      <c r="K252" s="22"/>
    </row>
    <row r="253" spans="2:11" x14ac:dyDescent="0.35">
      <c r="B253" s="22">
        <v>402</v>
      </c>
      <c r="C253" s="22" t="s">
        <v>521</v>
      </c>
      <c r="D253" s="22" t="s">
        <v>520</v>
      </c>
      <c r="E253" s="22">
        <v>40205</v>
      </c>
      <c r="F253" s="63" t="s">
        <v>340</v>
      </c>
      <c r="G253" s="34">
        <v>23</v>
      </c>
      <c r="H253" s="64">
        <v>6.31</v>
      </c>
      <c r="I253" s="67">
        <v>-1.3000000000000001E-2</v>
      </c>
      <c r="J253" s="34">
        <v>1</v>
      </c>
      <c r="K253" s="66">
        <v>4.3478260869565216E-2</v>
      </c>
    </row>
    <row r="254" spans="2:11" x14ac:dyDescent="0.35">
      <c r="B254" s="22">
        <v>403</v>
      </c>
      <c r="C254" s="22" t="s">
        <v>522</v>
      </c>
      <c r="D254" s="22" t="s">
        <v>520</v>
      </c>
      <c r="E254" s="22">
        <v>40301</v>
      </c>
      <c r="F254" s="63" t="s">
        <v>341</v>
      </c>
      <c r="G254" s="34">
        <v>8</v>
      </c>
      <c r="H254" s="64">
        <v>6.16</v>
      </c>
      <c r="I254" s="67">
        <v>-0.12</v>
      </c>
      <c r="J254" s="34"/>
      <c r="K254" s="22"/>
    </row>
    <row r="255" spans="2:11" x14ac:dyDescent="0.35">
      <c r="B255" s="22">
        <v>403</v>
      </c>
      <c r="C255" s="22" t="s">
        <v>522</v>
      </c>
      <c r="D255" s="22" t="s">
        <v>520</v>
      </c>
      <c r="E255" s="22">
        <v>40302</v>
      </c>
      <c r="F255" s="63" t="s">
        <v>342</v>
      </c>
      <c r="G255" s="34">
        <v>19</v>
      </c>
      <c r="H255" s="64">
        <v>7.37</v>
      </c>
      <c r="I255" s="67">
        <v>-9.6000000000000002E-2</v>
      </c>
      <c r="J255" s="34">
        <v>1</v>
      </c>
      <c r="K255" s="66">
        <v>5.2631578947368418E-2</v>
      </c>
    </row>
    <row r="256" spans="2:11" x14ac:dyDescent="0.35">
      <c r="B256" s="22">
        <v>403</v>
      </c>
      <c r="C256" s="22" t="s">
        <v>522</v>
      </c>
      <c r="D256" s="22" t="s">
        <v>520</v>
      </c>
      <c r="E256" s="22">
        <v>40303</v>
      </c>
      <c r="F256" s="63" t="s">
        <v>343</v>
      </c>
      <c r="G256" s="34">
        <v>17</v>
      </c>
      <c r="H256" s="64">
        <v>7.46</v>
      </c>
      <c r="I256" s="67">
        <v>-7.400000000000001E-2</v>
      </c>
      <c r="J256" s="34">
        <v>1</v>
      </c>
      <c r="K256" s="66">
        <v>5.8823529411764705E-2</v>
      </c>
    </row>
    <row r="257" spans="2:11" x14ac:dyDescent="0.35">
      <c r="B257" s="22">
        <v>403</v>
      </c>
      <c r="C257" s="22" t="s">
        <v>522</v>
      </c>
      <c r="D257" s="22" t="s">
        <v>520</v>
      </c>
      <c r="E257" s="22">
        <v>40304</v>
      </c>
      <c r="F257" s="63" t="s">
        <v>344</v>
      </c>
      <c r="G257" s="34">
        <v>42</v>
      </c>
      <c r="H257" s="64">
        <v>6.52</v>
      </c>
      <c r="I257" s="67">
        <v>-2.7999999999999997E-2</v>
      </c>
      <c r="J257" s="34"/>
      <c r="K257" s="22"/>
    </row>
    <row r="258" spans="2:11" x14ac:dyDescent="0.35">
      <c r="B258" s="22">
        <v>404</v>
      </c>
      <c r="C258" s="22" t="s">
        <v>523</v>
      </c>
      <c r="D258" s="22" t="s">
        <v>520</v>
      </c>
      <c r="E258" s="22">
        <v>40401</v>
      </c>
      <c r="F258" s="63" t="s">
        <v>345</v>
      </c>
      <c r="G258" s="34">
        <v>21</v>
      </c>
      <c r="H258" s="64">
        <v>6.67</v>
      </c>
      <c r="I258" s="67">
        <v>-8.1000000000000003E-2</v>
      </c>
      <c r="J258" s="34"/>
      <c r="K258" s="22"/>
    </row>
    <row r="259" spans="2:11" x14ac:dyDescent="0.35">
      <c r="B259" s="22">
        <v>404</v>
      </c>
      <c r="C259" s="22" t="s">
        <v>523</v>
      </c>
      <c r="D259" s="22" t="s">
        <v>520</v>
      </c>
      <c r="E259" s="22">
        <v>40402</v>
      </c>
      <c r="F259" s="63" t="s">
        <v>346</v>
      </c>
      <c r="G259" s="34">
        <v>13</v>
      </c>
      <c r="H259" s="64">
        <v>6.46</v>
      </c>
      <c r="I259" s="67">
        <v>-0.222</v>
      </c>
      <c r="J259" s="34"/>
      <c r="K259" s="22"/>
    </row>
    <row r="260" spans="2:11" x14ac:dyDescent="0.35">
      <c r="B260" s="22">
        <v>404</v>
      </c>
      <c r="C260" s="22" t="s">
        <v>523</v>
      </c>
      <c r="D260" s="22" t="s">
        <v>520</v>
      </c>
      <c r="E260" s="22">
        <v>40403</v>
      </c>
      <c r="F260" s="63" t="s">
        <v>347</v>
      </c>
      <c r="G260" s="34">
        <v>12</v>
      </c>
      <c r="H260" s="64">
        <v>7.47</v>
      </c>
      <c r="I260" s="67">
        <v>-1E-3</v>
      </c>
      <c r="J260" s="34">
        <v>1</v>
      </c>
      <c r="K260" s="66">
        <v>8.3333333333333329E-2</v>
      </c>
    </row>
    <row r="261" spans="2:11" x14ac:dyDescent="0.35">
      <c r="B261" s="22">
        <v>405</v>
      </c>
      <c r="C261" s="22" t="s">
        <v>524</v>
      </c>
      <c r="D261" s="22" t="s">
        <v>520</v>
      </c>
      <c r="E261" s="22">
        <v>40501</v>
      </c>
      <c r="F261" s="63" t="s">
        <v>348</v>
      </c>
      <c r="G261" s="34">
        <v>14</v>
      </c>
      <c r="H261" s="64">
        <v>7.33</v>
      </c>
      <c r="I261" s="67">
        <v>-2.4E-2</v>
      </c>
      <c r="J261" s="34"/>
      <c r="K261" s="22"/>
    </row>
    <row r="262" spans="2:11" x14ac:dyDescent="0.35">
      <c r="B262" s="22">
        <v>405</v>
      </c>
      <c r="C262" s="22" t="s">
        <v>524</v>
      </c>
      <c r="D262" s="22" t="s">
        <v>520</v>
      </c>
      <c r="E262" s="22">
        <v>40502</v>
      </c>
      <c r="F262" s="63" t="s">
        <v>349</v>
      </c>
      <c r="G262" s="34">
        <v>5</v>
      </c>
      <c r="H262" s="64">
        <v>7.34</v>
      </c>
      <c r="I262" s="67"/>
      <c r="J262" s="34"/>
      <c r="K262" s="22"/>
    </row>
    <row r="263" spans="2:11" x14ac:dyDescent="0.35">
      <c r="B263" s="22">
        <v>405</v>
      </c>
      <c r="C263" s="22" t="s">
        <v>524</v>
      </c>
      <c r="D263" s="22" t="s">
        <v>520</v>
      </c>
      <c r="E263" s="22">
        <v>40503</v>
      </c>
      <c r="F263" s="63" t="s">
        <v>350</v>
      </c>
      <c r="G263" s="34" t="s">
        <v>464</v>
      </c>
      <c r="H263" s="64"/>
      <c r="I263" s="67"/>
      <c r="J263" s="34"/>
      <c r="K263" s="22"/>
    </row>
    <row r="264" spans="2:11" x14ac:dyDescent="0.35">
      <c r="B264" s="22">
        <v>405</v>
      </c>
      <c r="C264" s="22" t="s">
        <v>524</v>
      </c>
      <c r="D264" s="22" t="s">
        <v>520</v>
      </c>
      <c r="E264" s="22">
        <v>40504</v>
      </c>
      <c r="F264" s="63" t="s">
        <v>351</v>
      </c>
      <c r="G264" s="34" t="s">
        <v>464</v>
      </c>
      <c r="H264" s="64"/>
      <c r="I264" s="67"/>
      <c r="J264" s="34"/>
      <c r="K264" s="22"/>
    </row>
    <row r="265" spans="2:11" x14ac:dyDescent="0.35">
      <c r="B265" s="22">
        <v>406</v>
      </c>
      <c r="C265" s="22" t="s">
        <v>525</v>
      </c>
      <c r="D265" s="22" t="s">
        <v>520</v>
      </c>
      <c r="E265" s="22">
        <v>40601</v>
      </c>
      <c r="F265" s="63" t="s">
        <v>352</v>
      </c>
      <c r="G265" s="34">
        <v>8</v>
      </c>
      <c r="H265" s="64">
        <v>5.96</v>
      </c>
      <c r="I265" s="67">
        <v>-7.6999999999999999E-2</v>
      </c>
      <c r="J265" s="34"/>
      <c r="K265" s="22"/>
    </row>
    <row r="266" spans="2:11" x14ac:dyDescent="0.35">
      <c r="B266" s="22">
        <v>406</v>
      </c>
      <c r="C266" s="22" t="s">
        <v>525</v>
      </c>
      <c r="D266" s="22" t="s">
        <v>520</v>
      </c>
      <c r="E266" s="22">
        <v>40602</v>
      </c>
      <c r="F266" s="63" t="s">
        <v>353</v>
      </c>
      <c r="G266" s="34" t="s">
        <v>464</v>
      </c>
      <c r="H266" s="64"/>
      <c r="I266" s="67"/>
      <c r="J266" s="34"/>
      <c r="K266" s="22"/>
    </row>
    <row r="267" spans="2:11" x14ac:dyDescent="0.35">
      <c r="B267" s="22">
        <v>407</v>
      </c>
      <c r="C267" s="22" t="s">
        <v>526</v>
      </c>
      <c r="D267" s="22" t="s">
        <v>520</v>
      </c>
      <c r="E267" s="22">
        <v>40701</v>
      </c>
      <c r="F267" s="63" t="s">
        <v>354</v>
      </c>
      <c r="G267" s="34">
        <v>10</v>
      </c>
      <c r="H267" s="64">
        <v>7.6</v>
      </c>
      <c r="I267" s="67">
        <v>-2.4E-2</v>
      </c>
      <c r="J267" s="34">
        <v>1</v>
      </c>
      <c r="K267" s="66">
        <v>0.1</v>
      </c>
    </row>
    <row r="268" spans="2:11" x14ac:dyDescent="0.35">
      <c r="B268" s="22">
        <v>407</v>
      </c>
      <c r="C268" s="22" t="s">
        <v>526</v>
      </c>
      <c r="D268" s="22" t="s">
        <v>520</v>
      </c>
      <c r="E268" s="22">
        <v>40702</v>
      </c>
      <c r="F268" s="63" t="s">
        <v>355</v>
      </c>
      <c r="G268" s="34">
        <v>5</v>
      </c>
      <c r="H268" s="64">
        <v>6.85</v>
      </c>
      <c r="I268" s="67">
        <v>-2.3E-2</v>
      </c>
      <c r="J268" s="34"/>
      <c r="K268" s="22"/>
    </row>
    <row r="269" spans="2:11" x14ac:dyDescent="0.35">
      <c r="B269" s="22">
        <v>407</v>
      </c>
      <c r="C269" s="22" t="s">
        <v>526</v>
      </c>
      <c r="D269" s="22" t="s">
        <v>520</v>
      </c>
      <c r="E269" s="22">
        <v>40703</v>
      </c>
      <c r="F269" s="63" t="s">
        <v>356</v>
      </c>
      <c r="G269" s="34">
        <v>8</v>
      </c>
      <c r="H269" s="64">
        <v>6.63</v>
      </c>
      <c r="I269" s="67">
        <v>-9.4E-2</v>
      </c>
      <c r="J269" s="34"/>
      <c r="K269" s="22"/>
    </row>
    <row r="270" spans="2:11" x14ac:dyDescent="0.35">
      <c r="B270" s="22">
        <v>501</v>
      </c>
      <c r="C270" s="22" t="s">
        <v>358</v>
      </c>
      <c r="D270" s="22" t="s">
        <v>527</v>
      </c>
      <c r="E270" s="22">
        <v>50101</v>
      </c>
      <c r="F270" s="63" t="s">
        <v>357</v>
      </c>
      <c r="G270" s="34">
        <v>5</v>
      </c>
      <c r="H270" s="64">
        <v>9.09</v>
      </c>
      <c r="I270" s="67">
        <v>-9.4E-2</v>
      </c>
      <c r="J270" s="34">
        <v>2</v>
      </c>
      <c r="K270" s="66">
        <v>0.4</v>
      </c>
    </row>
    <row r="271" spans="2:11" x14ac:dyDescent="0.35">
      <c r="B271" s="22">
        <v>501</v>
      </c>
      <c r="C271" s="22" t="s">
        <v>358</v>
      </c>
      <c r="D271" s="22" t="s">
        <v>527</v>
      </c>
      <c r="E271" s="22">
        <v>50102</v>
      </c>
      <c r="F271" s="63" t="s">
        <v>358</v>
      </c>
      <c r="G271" s="34">
        <v>21</v>
      </c>
      <c r="H271" s="64">
        <v>8.98</v>
      </c>
      <c r="I271" s="67">
        <v>-8.1000000000000003E-2</v>
      </c>
      <c r="J271" s="34">
        <v>8</v>
      </c>
      <c r="K271" s="66">
        <v>0.38095238095238093</v>
      </c>
    </row>
    <row r="272" spans="2:11" x14ac:dyDescent="0.35">
      <c r="B272" s="22">
        <v>501</v>
      </c>
      <c r="C272" s="22" t="s">
        <v>358</v>
      </c>
      <c r="D272" s="22" t="s">
        <v>527</v>
      </c>
      <c r="E272" s="22">
        <v>50103</v>
      </c>
      <c r="F272" s="63" t="s">
        <v>359</v>
      </c>
      <c r="G272" s="34" t="s">
        <v>464</v>
      </c>
      <c r="H272" s="64"/>
      <c r="I272" s="67"/>
      <c r="J272" s="34"/>
      <c r="K272" s="22"/>
    </row>
    <row r="273" spans="2:11" x14ac:dyDescent="0.35">
      <c r="B273" s="22">
        <v>502</v>
      </c>
      <c r="C273" s="22" t="s">
        <v>360</v>
      </c>
      <c r="D273" s="22" t="s">
        <v>527</v>
      </c>
      <c r="E273" s="22">
        <v>50201</v>
      </c>
      <c r="F273" s="63" t="s">
        <v>360</v>
      </c>
      <c r="G273" s="34">
        <v>18</v>
      </c>
      <c r="H273" s="64">
        <v>8.98</v>
      </c>
      <c r="I273" s="67">
        <v>-9.3000000000000013E-2</v>
      </c>
      <c r="J273" s="34">
        <v>4</v>
      </c>
      <c r="K273" s="66">
        <v>0.22222222222222221</v>
      </c>
    </row>
    <row r="274" spans="2:11" x14ac:dyDescent="0.35">
      <c r="B274" s="22">
        <v>503</v>
      </c>
      <c r="C274" s="22" t="s">
        <v>528</v>
      </c>
      <c r="D274" s="22" t="s">
        <v>527</v>
      </c>
      <c r="E274" s="22">
        <v>50301</v>
      </c>
      <c r="F274" s="63" t="s">
        <v>361</v>
      </c>
      <c r="G274" s="34">
        <v>26</v>
      </c>
      <c r="H274" s="64">
        <v>10.75</v>
      </c>
      <c r="I274" s="67">
        <v>-4.4000000000000004E-2</v>
      </c>
      <c r="J274" s="34">
        <v>16</v>
      </c>
      <c r="K274" s="66">
        <v>0.61538461538461542</v>
      </c>
    </row>
    <row r="275" spans="2:11" x14ac:dyDescent="0.35">
      <c r="B275" s="22">
        <v>503</v>
      </c>
      <c r="C275" s="22" t="s">
        <v>528</v>
      </c>
      <c r="D275" s="22" t="s">
        <v>527</v>
      </c>
      <c r="E275" s="22">
        <v>50302</v>
      </c>
      <c r="F275" s="63" t="s">
        <v>362</v>
      </c>
      <c r="G275" s="34">
        <v>17</v>
      </c>
      <c r="H275" s="64">
        <v>9.64</v>
      </c>
      <c r="I275" s="67">
        <v>-4.7E-2</v>
      </c>
      <c r="J275" s="34">
        <v>7</v>
      </c>
      <c r="K275" s="66">
        <v>0.41176470588235292</v>
      </c>
    </row>
    <row r="276" spans="2:11" x14ac:dyDescent="0.35">
      <c r="B276" s="22">
        <v>504</v>
      </c>
      <c r="C276" s="22" t="s">
        <v>529</v>
      </c>
      <c r="D276" s="22" t="s">
        <v>527</v>
      </c>
      <c r="E276" s="22">
        <v>50401</v>
      </c>
      <c r="F276" s="63" t="s">
        <v>363</v>
      </c>
      <c r="G276" s="34">
        <v>17</v>
      </c>
      <c r="H276" s="64">
        <v>9</v>
      </c>
      <c r="I276" s="67">
        <v>-2.4E-2</v>
      </c>
      <c r="J276" s="34">
        <v>1</v>
      </c>
      <c r="K276" s="66">
        <v>5.8823529411764705E-2</v>
      </c>
    </row>
    <row r="277" spans="2:11" x14ac:dyDescent="0.35">
      <c r="B277" s="22">
        <v>504</v>
      </c>
      <c r="C277" s="22" t="s">
        <v>529</v>
      </c>
      <c r="D277" s="22" t="s">
        <v>527</v>
      </c>
      <c r="E277" s="22">
        <v>50402</v>
      </c>
      <c r="F277" s="63" t="s">
        <v>364</v>
      </c>
      <c r="G277" s="34">
        <v>10</v>
      </c>
      <c r="H277" s="64">
        <v>10.02</v>
      </c>
      <c r="I277" s="67">
        <v>1.3000000000000001E-2</v>
      </c>
      <c r="J277" s="34">
        <v>5</v>
      </c>
      <c r="K277" s="66">
        <v>0.5</v>
      </c>
    </row>
    <row r="278" spans="2:11" x14ac:dyDescent="0.35">
      <c r="B278" s="22">
        <v>504</v>
      </c>
      <c r="C278" s="22" t="s">
        <v>529</v>
      </c>
      <c r="D278" s="22" t="s">
        <v>527</v>
      </c>
      <c r="E278" s="22">
        <v>50403</v>
      </c>
      <c r="F278" s="63" t="s">
        <v>365</v>
      </c>
      <c r="G278" s="34">
        <v>30</v>
      </c>
      <c r="H278" s="64">
        <v>9.76</v>
      </c>
      <c r="I278" s="67">
        <v>-1.3999999999999999E-2</v>
      </c>
      <c r="J278" s="34">
        <v>12</v>
      </c>
      <c r="K278" s="66">
        <v>0.4</v>
      </c>
    </row>
    <row r="279" spans="2:11" x14ac:dyDescent="0.35">
      <c r="B279" s="22">
        <v>505</v>
      </c>
      <c r="C279" s="22" t="s">
        <v>530</v>
      </c>
      <c r="D279" s="22" t="s">
        <v>527</v>
      </c>
      <c r="E279" s="22">
        <v>50501</v>
      </c>
      <c r="F279" s="63" t="s">
        <v>366</v>
      </c>
      <c r="G279" s="34">
        <v>47</v>
      </c>
      <c r="H279" s="64">
        <v>8.8699999999999992</v>
      </c>
      <c r="I279" s="67">
        <v>-4.4999999999999998E-2</v>
      </c>
      <c r="J279" s="34">
        <v>5</v>
      </c>
      <c r="K279" s="66">
        <v>0.10638297872340426</v>
      </c>
    </row>
    <row r="280" spans="2:11" x14ac:dyDescent="0.35">
      <c r="B280" s="22">
        <v>505</v>
      </c>
      <c r="C280" s="22" t="s">
        <v>530</v>
      </c>
      <c r="D280" s="22" t="s">
        <v>527</v>
      </c>
      <c r="E280" s="22">
        <v>50502</v>
      </c>
      <c r="F280" s="63" t="s">
        <v>367</v>
      </c>
      <c r="G280" s="34">
        <v>40</v>
      </c>
      <c r="H280" s="64">
        <v>9.89</v>
      </c>
      <c r="I280" s="67">
        <v>-0.03</v>
      </c>
      <c r="J280" s="34">
        <v>15</v>
      </c>
      <c r="K280" s="66">
        <v>0.375</v>
      </c>
    </row>
    <row r="281" spans="2:11" x14ac:dyDescent="0.35">
      <c r="B281" s="22">
        <v>505</v>
      </c>
      <c r="C281" s="22" t="s">
        <v>530</v>
      </c>
      <c r="D281" s="22" t="s">
        <v>527</v>
      </c>
      <c r="E281" s="22">
        <v>50503</v>
      </c>
      <c r="F281" s="63" t="s">
        <v>368</v>
      </c>
      <c r="G281" s="34">
        <v>39</v>
      </c>
      <c r="H281" s="64">
        <v>9.16</v>
      </c>
      <c r="I281" s="67">
        <v>-3.6000000000000004E-2</v>
      </c>
      <c r="J281" s="34">
        <v>6</v>
      </c>
      <c r="K281" s="66">
        <v>0.15384615384615385</v>
      </c>
    </row>
    <row r="282" spans="2:11" x14ac:dyDescent="0.35">
      <c r="B282" s="22">
        <v>506</v>
      </c>
      <c r="C282" s="22" t="s">
        <v>531</v>
      </c>
      <c r="D282" s="22" t="s">
        <v>527</v>
      </c>
      <c r="E282" s="22">
        <v>50601</v>
      </c>
      <c r="F282" s="63" t="s">
        <v>369</v>
      </c>
      <c r="G282" s="34">
        <v>16</v>
      </c>
      <c r="H282" s="64">
        <v>9.66</v>
      </c>
      <c r="I282" s="67">
        <v>-4.0999999999999995E-2</v>
      </c>
      <c r="J282" s="34">
        <v>6</v>
      </c>
      <c r="K282" s="66">
        <v>0.375</v>
      </c>
    </row>
    <row r="283" spans="2:11" x14ac:dyDescent="0.35">
      <c r="B283" s="22">
        <v>506</v>
      </c>
      <c r="C283" s="22" t="s">
        <v>531</v>
      </c>
      <c r="D283" s="22" t="s">
        <v>527</v>
      </c>
      <c r="E283" s="22">
        <v>50602</v>
      </c>
      <c r="F283" s="63" t="s">
        <v>370</v>
      </c>
      <c r="G283" s="34">
        <v>11</v>
      </c>
      <c r="H283" s="64">
        <v>9.93</v>
      </c>
      <c r="I283" s="67">
        <v>-8.199999999999999E-2</v>
      </c>
      <c r="J283" s="34">
        <v>7</v>
      </c>
      <c r="K283" s="66">
        <v>0.63636363636363635</v>
      </c>
    </row>
    <row r="284" spans="2:11" x14ac:dyDescent="0.35">
      <c r="B284" s="22">
        <v>506</v>
      </c>
      <c r="C284" s="22" t="s">
        <v>531</v>
      </c>
      <c r="D284" s="22" t="s">
        <v>527</v>
      </c>
      <c r="E284" s="22">
        <v>50603</v>
      </c>
      <c r="F284" s="63" t="s">
        <v>371</v>
      </c>
      <c r="G284" s="34">
        <v>16</v>
      </c>
      <c r="H284" s="64">
        <v>9.27</v>
      </c>
      <c r="I284" s="67">
        <v>0.01</v>
      </c>
      <c r="J284" s="34">
        <v>3</v>
      </c>
      <c r="K284" s="66">
        <v>0.1875</v>
      </c>
    </row>
    <row r="285" spans="2:11" x14ac:dyDescent="0.35">
      <c r="B285" s="22">
        <v>506</v>
      </c>
      <c r="C285" s="22" t="s">
        <v>531</v>
      </c>
      <c r="D285" s="22" t="s">
        <v>527</v>
      </c>
      <c r="E285" s="22">
        <v>50604</v>
      </c>
      <c r="F285" s="63" t="s">
        <v>372</v>
      </c>
      <c r="G285" s="34">
        <v>16</v>
      </c>
      <c r="H285" s="64">
        <v>8.98</v>
      </c>
      <c r="I285" s="67">
        <v>2E-3</v>
      </c>
      <c r="J285" s="34">
        <v>4</v>
      </c>
      <c r="K285" s="66">
        <v>0.25</v>
      </c>
    </row>
    <row r="286" spans="2:11" x14ac:dyDescent="0.35">
      <c r="B286" s="22">
        <v>506</v>
      </c>
      <c r="C286" s="22" t="s">
        <v>531</v>
      </c>
      <c r="D286" s="22" t="s">
        <v>527</v>
      </c>
      <c r="E286" s="22">
        <v>50605</v>
      </c>
      <c r="F286" s="63" t="s">
        <v>373</v>
      </c>
      <c r="G286" s="34">
        <v>11</v>
      </c>
      <c r="H286" s="64">
        <v>9.89</v>
      </c>
      <c r="I286" s="67">
        <v>4.0000000000000001E-3</v>
      </c>
      <c r="J286" s="34">
        <v>3</v>
      </c>
      <c r="K286" s="66">
        <v>0.27272727272727271</v>
      </c>
    </row>
    <row r="287" spans="2:11" x14ac:dyDescent="0.35">
      <c r="B287" s="22">
        <v>506</v>
      </c>
      <c r="C287" s="22" t="s">
        <v>531</v>
      </c>
      <c r="D287" s="22" t="s">
        <v>527</v>
      </c>
      <c r="E287" s="22">
        <v>50606</v>
      </c>
      <c r="F287" s="63" t="s">
        <v>374</v>
      </c>
      <c r="G287" s="34">
        <v>6</v>
      </c>
      <c r="H287" s="64">
        <v>9.6999999999999993</v>
      </c>
      <c r="I287" s="67">
        <v>-9.0000000000000011E-3</v>
      </c>
      <c r="J287" s="34">
        <v>2</v>
      </c>
      <c r="K287" s="66">
        <v>0.33333333333333331</v>
      </c>
    </row>
    <row r="288" spans="2:11" x14ac:dyDescent="0.35">
      <c r="B288" s="22">
        <v>506</v>
      </c>
      <c r="C288" s="22" t="s">
        <v>531</v>
      </c>
      <c r="D288" s="22" t="s">
        <v>527</v>
      </c>
      <c r="E288" s="22">
        <v>50607</v>
      </c>
      <c r="F288" s="63" t="s">
        <v>375</v>
      </c>
      <c r="G288" s="34">
        <v>9</v>
      </c>
      <c r="H288" s="64">
        <v>9.85</v>
      </c>
      <c r="I288" s="67">
        <v>-2.4E-2</v>
      </c>
      <c r="J288" s="34">
        <v>3</v>
      </c>
      <c r="K288" s="66">
        <v>0.33333333333333331</v>
      </c>
    </row>
    <row r="289" spans="2:11" x14ac:dyDescent="0.35">
      <c r="B289" s="22">
        <v>507</v>
      </c>
      <c r="C289" s="22" t="s">
        <v>532</v>
      </c>
      <c r="D289" s="22" t="s">
        <v>527</v>
      </c>
      <c r="E289" s="22">
        <v>50701</v>
      </c>
      <c r="F289" s="63" t="s">
        <v>376</v>
      </c>
      <c r="G289" s="34">
        <v>19</v>
      </c>
      <c r="H289" s="64">
        <v>9.7799999999999994</v>
      </c>
      <c r="I289" s="67">
        <v>2.2000000000000002E-2</v>
      </c>
      <c r="J289" s="34">
        <v>5</v>
      </c>
      <c r="K289" s="66">
        <v>0.26315789473684209</v>
      </c>
    </row>
    <row r="290" spans="2:11" x14ac:dyDescent="0.35">
      <c r="B290" s="22">
        <v>507</v>
      </c>
      <c r="C290" s="22" t="s">
        <v>532</v>
      </c>
      <c r="D290" s="22" t="s">
        <v>527</v>
      </c>
      <c r="E290" s="22">
        <v>50702</v>
      </c>
      <c r="F290" s="63" t="s">
        <v>377</v>
      </c>
      <c r="G290" s="34">
        <v>13</v>
      </c>
      <c r="H290" s="64">
        <v>10.01</v>
      </c>
      <c r="I290" s="67">
        <v>-8.0000000000000002E-3</v>
      </c>
      <c r="J290" s="34">
        <v>4</v>
      </c>
      <c r="K290" s="66">
        <v>0.30769230769230771</v>
      </c>
    </row>
    <row r="291" spans="2:11" x14ac:dyDescent="0.35">
      <c r="B291" s="22">
        <v>507</v>
      </c>
      <c r="C291" s="22" t="s">
        <v>532</v>
      </c>
      <c r="D291" s="22" t="s">
        <v>527</v>
      </c>
      <c r="E291" s="22">
        <v>50703</v>
      </c>
      <c r="F291" s="63" t="s">
        <v>378</v>
      </c>
      <c r="G291" s="34">
        <v>8</v>
      </c>
      <c r="H291" s="64">
        <v>8.66</v>
      </c>
      <c r="I291" s="67">
        <v>-0.13100000000000001</v>
      </c>
      <c r="J291" s="34"/>
      <c r="K291" s="22"/>
    </row>
    <row r="292" spans="2:11" x14ac:dyDescent="0.35">
      <c r="B292" s="22">
        <v>507</v>
      </c>
      <c r="C292" s="22" t="s">
        <v>532</v>
      </c>
      <c r="D292" s="22" t="s">
        <v>527</v>
      </c>
      <c r="E292" s="22">
        <v>50704</v>
      </c>
      <c r="F292" s="63" t="s">
        <v>379</v>
      </c>
      <c r="G292" s="34">
        <v>23</v>
      </c>
      <c r="H292" s="64">
        <v>9.4499999999999993</v>
      </c>
      <c r="I292" s="67">
        <v>-7.0999999999999994E-2</v>
      </c>
      <c r="J292" s="34">
        <v>7</v>
      </c>
      <c r="K292" s="66">
        <v>0.30434782608695654</v>
      </c>
    </row>
    <row r="293" spans="2:11" x14ac:dyDescent="0.35">
      <c r="B293" s="22">
        <v>507</v>
      </c>
      <c r="C293" s="22" t="s">
        <v>532</v>
      </c>
      <c r="D293" s="22" t="s">
        <v>527</v>
      </c>
      <c r="E293" s="22">
        <v>50705</v>
      </c>
      <c r="F293" s="63" t="s">
        <v>380</v>
      </c>
      <c r="G293" s="34">
        <v>29</v>
      </c>
      <c r="H293" s="64">
        <v>8.99</v>
      </c>
      <c r="I293" s="67">
        <v>-0.01</v>
      </c>
      <c r="J293" s="34">
        <v>5</v>
      </c>
      <c r="K293" s="66">
        <v>0.17241379310344829</v>
      </c>
    </row>
    <row r="294" spans="2:11" x14ac:dyDescent="0.35">
      <c r="B294" s="22">
        <v>509</v>
      </c>
      <c r="C294" s="22" t="s">
        <v>533</v>
      </c>
      <c r="D294" s="22" t="s">
        <v>527</v>
      </c>
      <c r="E294" s="22">
        <v>50901</v>
      </c>
      <c r="F294" s="63" t="s">
        <v>381</v>
      </c>
      <c r="G294" s="34" t="s">
        <v>464</v>
      </c>
      <c r="H294" s="64"/>
      <c r="I294" s="67"/>
      <c r="J294" s="34"/>
      <c r="K294" s="22"/>
    </row>
    <row r="295" spans="2:11" x14ac:dyDescent="0.35">
      <c r="B295" s="22">
        <v>509</v>
      </c>
      <c r="C295" s="22" t="s">
        <v>533</v>
      </c>
      <c r="D295" s="22" t="s">
        <v>527</v>
      </c>
      <c r="E295" s="22">
        <v>50902</v>
      </c>
      <c r="F295" s="63" t="s">
        <v>382</v>
      </c>
      <c r="G295" s="34" t="s">
        <v>464</v>
      </c>
      <c r="H295" s="64"/>
      <c r="I295" s="67"/>
      <c r="J295" s="34"/>
      <c r="K295" s="22"/>
    </row>
    <row r="296" spans="2:11" x14ac:dyDescent="0.35">
      <c r="B296" s="22">
        <v>509</v>
      </c>
      <c r="C296" s="22" t="s">
        <v>533</v>
      </c>
      <c r="D296" s="22" t="s">
        <v>527</v>
      </c>
      <c r="E296" s="22">
        <v>50903</v>
      </c>
      <c r="F296" s="63" t="s">
        <v>383</v>
      </c>
      <c r="G296" s="34" t="s">
        <v>464</v>
      </c>
      <c r="H296" s="64"/>
      <c r="I296" s="67"/>
      <c r="J296" s="34"/>
      <c r="K296" s="22"/>
    </row>
    <row r="297" spans="2:11" x14ac:dyDescent="0.35">
      <c r="B297" s="22">
        <v>510</v>
      </c>
      <c r="C297" s="22" t="s">
        <v>534</v>
      </c>
      <c r="D297" s="22" t="s">
        <v>527</v>
      </c>
      <c r="E297" s="22">
        <v>51001</v>
      </c>
      <c r="F297" s="63" t="s">
        <v>384</v>
      </c>
      <c r="G297" s="34">
        <v>5</v>
      </c>
      <c r="H297" s="64">
        <v>10.1</v>
      </c>
      <c r="I297" s="67"/>
      <c r="J297" s="34">
        <v>3</v>
      </c>
      <c r="K297" s="66">
        <v>0.6</v>
      </c>
    </row>
    <row r="298" spans="2:11" x14ac:dyDescent="0.35">
      <c r="B298" s="22">
        <v>510</v>
      </c>
      <c r="C298" s="22" t="s">
        <v>534</v>
      </c>
      <c r="D298" s="22" t="s">
        <v>527</v>
      </c>
      <c r="E298" s="22">
        <v>51002</v>
      </c>
      <c r="F298" s="63" t="s">
        <v>385</v>
      </c>
      <c r="G298" s="34" t="s">
        <v>464</v>
      </c>
      <c r="H298" s="64"/>
      <c r="I298" s="67"/>
      <c r="J298" s="34"/>
      <c r="K298" s="22"/>
    </row>
    <row r="299" spans="2:11" x14ac:dyDescent="0.35">
      <c r="B299" s="22">
        <v>510</v>
      </c>
      <c r="C299" s="22" t="s">
        <v>534</v>
      </c>
      <c r="D299" s="22" t="s">
        <v>527</v>
      </c>
      <c r="E299" s="22">
        <v>51003</v>
      </c>
      <c r="F299" s="63" t="s">
        <v>386</v>
      </c>
      <c r="G299" s="34">
        <v>5</v>
      </c>
      <c r="H299" s="64">
        <v>11.95</v>
      </c>
      <c r="I299" s="67">
        <v>4.0000000000000001E-3</v>
      </c>
      <c r="J299" s="34">
        <v>3</v>
      </c>
      <c r="K299" s="66">
        <v>0.6</v>
      </c>
    </row>
    <row r="300" spans="2:11" x14ac:dyDescent="0.35">
      <c r="B300" s="22">
        <v>511</v>
      </c>
      <c r="C300" s="22" t="s">
        <v>535</v>
      </c>
      <c r="D300" s="22" t="s">
        <v>527</v>
      </c>
      <c r="E300" s="22">
        <v>51101</v>
      </c>
      <c r="F300" s="63" t="s">
        <v>387</v>
      </c>
      <c r="G300" s="34" t="s">
        <v>464</v>
      </c>
      <c r="H300" s="64"/>
      <c r="I300" s="67"/>
      <c r="J300" s="34"/>
      <c r="K300" s="22"/>
    </row>
    <row r="301" spans="2:11" x14ac:dyDescent="0.35">
      <c r="B301" s="22">
        <v>511</v>
      </c>
      <c r="C301" s="22" t="s">
        <v>535</v>
      </c>
      <c r="D301" s="22" t="s">
        <v>527</v>
      </c>
      <c r="E301" s="22">
        <v>51102</v>
      </c>
      <c r="F301" s="63" t="s">
        <v>388</v>
      </c>
      <c r="G301" s="34" t="s">
        <v>464</v>
      </c>
      <c r="H301" s="64"/>
      <c r="I301" s="67"/>
      <c r="J301" s="34"/>
      <c r="K301" s="22"/>
    </row>
    <row r="302" spans="2:11" x14ac:dyDescent="0.35">
      <c r="B302" s="22">
        <v>511</v>
      </c>
      <c r="C302" s="22" t="s">
        <v>535</v>
      </c>
      <c r="D302" s="22" t="s">
        <v>527</v>
      </c>
      <c r="E302" s="22">
        <v>51103</v>
      </c>
      <c r="F302" s="63" t="s">
        <v>389</v>
      </c>
      <c r="G302" s="34" t="s">
        <v>464</v>
      </c>
      <c r="H302" s="64"/>
      <c r="I302" s="67"/>
      <c r="J302" s="34"/>
      <c r="K302" s="22"/>
    </row>
    <row r="303" spans="2:11" x14ac:dyDescent="0.35">
      <c r="B303" s="22">
        <v>511</v>
      </c>
      <c r="C303" s="22" t="s">
        <v>535</v>
      </c>
      <c r="D303" s="22" t="s">
        <v>527</v>
      </c>
      <c r="E303" s="22">
        <v>51104</v>
      </c>
      <c r="F303" s="63" t="s">
        <v>390</v>
      </c>
      <c r="G303" s="34">
        <v>6</v>
      </c>
      <c r="H303" s="64">
        <v>10.81</v>
      </c>
      <c r="I303" s="67">
        <v>-2.5000000000000001E-2</v>
      </c>
      <c r="J303" s="34">
        <v>4</v>
      </c>
      <c r="K303" s="66">
        <v>0.66666666666666663</v>
      </c>
    </row>
    <row r="304" spans="2:11" x14ac:dyDescent="0.35">
      <c r="B304" s="22">
        <v>601</v>
      </c>
      <c r="C304" s="22" t="s">
        <v>536</v>
      </c>
      <c r="D304" s="22" t="s">
        <v>537</v>
      </c>
      <c r="E304" s="22">
        <v>60101</v>
      </c>
      <c r="F304" s="63" t="s">
        <v>391</v>
      </c>
      <c r="G304" s="34">
        <v>5</v>
      </c>
      <c r="H304" s="64">
        <v>8.1999999999999993</v>
      </c>
      <c r="I304" s="67"/>
      <c r="J304" s="34"/>
      <c r="K304" s="22"/>
    </row>
    <row r="305" spans="2:11" x14ac:dyDescent="0.35">
      <c r="B305" s="22">
        <v>601</v>
      </c>
      <c r="C305" s="22" t="s">
        <v>536</v>
      </c>
      <c r="D305" s="22" t="s">
        <v>537</v>
      </c>
      <c r="E305" s="22">
        <v>60102</v>
      </c>
      <c r="F305" s="63" t="s">
        <v>392</v>
      </c>
      <c r="G305" s="34">
        <v>14</v>
      </c>
      <c r="H305" s="64">
        <v>8.57</v>
      </c>
      <c r="I305" s="67">
        <v>1.3999999999999999E-2</v>
      </c>
      <c r="J305" s="34"/>
      <c r="K305" s="22"/>
    </row>
    <row r="306" spans="2:11" x14ac:dyDescent="0.35">
      <c r="B306" s="22">
        <v>601</v>
      </c>
      <c r="C306" s="22" t="s">
        <v>536</v>
      </c>
      <c r="D306" s="22" t="s">
        <v>537</v>
      </c>
      <c r="E306" s="22">
        <v>60103</v>
      </c>
      <c r="F306" s="63" t="s">
        <v>393</v>
      </c>
      <c r="G306" s="34">
        <v>10</v>
      </c>
      <c r="H306" s="64">
        <v>8.2100000000000009</v>
      </c>
      <c r="I306" s="67">
        <v>2.1000000000000001E-2</v>
      </c>
      <c r="J306" s="34"/>
      <c r="K306" s="22"/>
    </row>
    <row r="307" spans="2:11" x14ac:dyDescent="0.35">
      <c r="B307" s="22">
        <v>601</v>
      </c>
      <c r="C307" s="22" t="s">
        <v>536</v>
      </c>
      <c r="D307" s="22" t="s">
        <v>537</v>
      </c>
      <c r="E307" s="22">
        <v>60104</v>
      </c>
      <c r="F307" s="63" t="s">
        <v>394</v>
      </c>
      <c r="G307" s="34">
        <v>10</v>
      </c>
      <c r="H307" s="64">
        <v>8.41</v>
      </c>
      <c r="I307" s="67">
        <v>8.8000000000000009E-2</v>
      </c>
      <c r="J307" s="34">
        <v>1</v>
      </c>
      <c r="K307" s="66">
        <v>0.1</v>
      </c>
    </row>
    <row r="308" spans="2:11" x14ac:dyDescent="0.35">
      <c r="B308" s="22">
        <v>601</v>
      </c>
      <c r="C308" s="22" t="s">
        <v>536</v>
      </c>
      <c r="D308" s="22" t="s">
        <v>537</v>
      </c>
      <c r="E308" s="22">
        <v>60105</v>
      </c>
      <c r="F308" s="63" t="s">
        <v>395</v>
      </c>
      <c r="G308" s="34">
        <v>20</v>
      </c>
      <c r="H308" s="64">
        <v>8.39</v>
      </c>
      <c r="I308" s="67">
        <v>-5.7999999999999996E-2</v>
      </c>
      <c r="J308" s="34"/>
      <c r="K308" s="22"/>
    </row>
    <row r="309" spans="2:11" x14ac:dyDescent="0.35">
      <c r="B309" s="22">
        <v>601</v>
      </c>
      <c r="C309" s="22" t="s">
        <v>536</v>
      </c>
      <c r="D309" s="22" t="s">
        <v>537</v>
      </c>
      <c r="E309" s="22">
        <v>60106</v>
      </c>
      <c r="F309" s="63" t="s">
        <v>396</v>
      </c>
      <c r="G309" s="34">
        <v>5</v>
      </c>
      <c r="H309" s="64">
        <v>8.01</v>
      </c>
      <c r="I309" s="67"/>
      <c r="J309" s="34"/>
      <c r="K309" s="22"/>
    </row>
    <row r="310" spans="2:11" x14ac:dyDescent="0.35">
      <c r="B310" s="22">
        <v>602</v>
      </c>
      <c r="C310" s="22" t="s">
        <v>538</v>
      </c>
      <c r="D310" s="22" t="s">
        <v>537</v>
      </c>
      <c r="E310" s="22">
        <v>60201</v>
      </c>
      <c r="F310" s="63" t="s">
        <v>397</v>
      </c>
      <c r="G310" s="34">
        <v>18</v>
      </c>
      <c r="H310" s="64">
        <v>8.76</v>
      </c>
      <c r="I310" s="67">
        <v>7.0000000000000007E-2</v>
      </c>
      <c r="J310" s="34">
        <v>1</v>
      </c>
      <c r="K310" s="66">
        <v>5.5555555555555552E-2</v>
      </c>
    </row>
    <row r="311" spans="2:11" x14ac:dyDescent="0.35">
      <c r="B311" s="22">
        <v>602</v>
      </c>
      <c r="C311" s="22" t="s">
        <v>538</v>
      </c>
      <c r="D311" s="22" t="s">
        <v>537</v>
      </c>
      <c r="E311" s="22">
        <v>60202</v>
      </c>
      <c r="F311" s="63" t="s">
        <v>398</v>
      </c>
      <c r="G311" s="34">
        <v>6</v>
      </c>
      <c r="H311" s="64">
        <v>8.73</v>
      </c>
      <c r="I311" s="67">
        <v>3.3000000000000002E-2</v>
      </c>
      <c r="J311" s="34">
        <v>1</v>
      </c>
      <c r="K311" s="66">
        <v>0.16666666666666666</v>
      </c>
    </row>
    <row r="312" spans="2:11" x14ac:dyDescent="0.35">
      <c r="B312" s="22">
        <v>602</v>
      </c>
      <c r="C312" s="22" t="s">
        <v>538</v>
      </c>
      <c r="D312" s="22" t="s">
        <v>537</v>
      </c>
      <c r="E312" s="22">
        <v>60203</v>
      </c>
      <c r="F312" s="63" t="s">
        <v>399</v>
      </c>
      <c r="G312" s="34">
        <v>10</v>
      </c>
      <c r="H312" s="64">
        <v>8.14</v>
      </c>
      <c r="I312" s="67">
        <v>3.7000000000000005E-2</v>
      </c>
      <c r="J312" s="34"/>
      <c r="K312" s="22"/>
    </row>
    <row r="313" spans="2:11" x14ac:dyDescent="0.35">
      <c r="B313" s="22">
        <v>603</v>
      </c>
      <c r="C313" s="22" t="s">
        <v>539</v>
      </c>
      <c r="D313" s="22" t="s">
        <v>537</v>
      </c>
      <c r="E313" s="22">
        <v>60301</v>
      </c>
      <c r="F313" s="63" t="s">
        <v>400</v>
      </c>
      <c r="G313" s="34" t="s">
        <v>464</v>
      </c>
      <c r="H313" s="64"/>
      <c r="I313" s="67"/>
      <c r="J313" s="34"/>
      <c r="K313" s="22"/>
    </row>
    <row r="314" spans="2:11" x14ac:dyDescent="0.35">
      <c r="B314" s="22">
        <v>603</v>
      </c>
      <c r="C314" s="22" t="s">
        <v>539</v>
      </c>
      <c r="D314" s="22" t="s">
        <v>537</v>
      </c>
      <c r="E314" s="22">
        <v>60302</v>
      </c>
      <c r="F314" s="63" t="s">
        <v>401</v>
      </c>
      <c r="G314" s="34" t="s">
        <v>464</v>
      </c>
      <c r="H314" s="64"/>
      <c r="I314" s="67"/>
      <c r="J314" s="34"/>
      <c r="K314" s="22"/>
    </row>
    <row r="315" spans="2:11" x14ac:dyDescent="0.35">
      <c r="B315" s="22">
        <v>603</v>
      </c>
      <c r="C315" s="22" t="s">
        <v>539</v>
      </c>
      <c r="D315" s="22" t="s">
        <v>537</v>
      </c>
      <c r="E315" s="22">
        <v>60303</v>
      </c>
      <c r="F315" s="63" t="s">
        <v>402</v>
      </c>
      <c r="G315" s="34" t="s">
        <v>464</v>
      </c>
      <c r="H315" s="64"/>
      <c r="I315" s="67"/>
      <c r="J315" s="34"/>
      <c r="K315" s="22"/>
    </row>
    <row r="316" spans="2:11" x14ac:dyDescent="0.35">
      <c r="B316" s="22">
        <v>604</v>
      </c>
      <c r="C316" s="22" t="s">
        <v>540</v>
      </c>
      <c r="D316" s="22" t="s">
        <v>537</v>
      </c>
      <c r="E316" s="22">
        <v>60401</v>
      </c>
      <c r="F316" s="63" t="s">
        <v>403</v>
      </c>
      <c r="G316" s="34">
        <v>14</v>
      </c>
      <c r="H316" s="64">
        <v>8.08</v>
      </c>
      <c r="I316" s="67">
        <v>7.2999999999999995E-2</v>
      </c>
      <c r="J316" s="34"/>
      <c r="K316" s="22"/>
    </row>
    <row r="317" spans="2:11" x14ac:dyDescent="0.35">
      <c r="B317" s="22">
        <v>604</v>
      </c>
      <c r="C317" s="22" t="s">
        <v>540</v>
      </c>
      <c r="D317" s="22" t="s">
        <v>537</v>
      </c>
      <c r="E317" s="22">
        <v>60402</v>
      </c>
      <c r="F317" s="63" t="s">
        <v>404</v>
      </c>
      <c r="G317" s="34">
        <v>9</v>
      </c>
      <c r="H317" s="64">
        <v>8.6</v>
      </c>
      <c r="I317" s="67">
        <v>3.4000000000000002E-2</v>
      </c>
      <c r="J317" s="34"/>
      <c r="K317" s="22"/>
    </row>
    <row r="318" spans="2:11" x14ac:dyDescent="0.35">
      <c r="B318" s="22">
        <v>604</v>
      </c>
      <c r="C318" s="22" t="s">
        <v>540</v>
      </c>
      <c r="D318" s="22" t="s">
        <v>537</v>
      </c>
      <c r="E318" s="22">
        <v>60403</v>
      </c>
      <c r="F318" s="63" t="s">
        <v>405</v>
      </c>
      <c r="G318" s="34">
        <v>6</v>
      </c>
      <c r="H318" s="64">
        <v>7.77</v>
      </c>
      <c r="I318" s="67">
        <v>4.2999999999999997E-2</v>
      </c>
      <c r="J318" s="34"/>
      <c r="K318" s="22"/>
    </row>
    <row r="319" spans="2:11" x14ac:dyDescent="0.35">
      <c r="B319" s="22">
        <v>701</v>
      </c>
      <c r="C319" s="22" t="s">
        <v>541</v>
      </c>
      <c r="D319" s="22" t="s">
        <v>542</v>
      </c>
      <c r="E319" s="22">
        <v>70101</v>
      </c>
      <c r="F319" s="63" t="s">
        <v>406</v>
      </c>
      <c r="G319" s="34">
        <v>6</v>
      </c>
      <c r="H319" s="64">
        <v>6.59</v>
      </c>
      <c r="I319" s="67">
        <v>-0.16699999999999998</v>
      </c>
      <c r="J319" s="34"/>
      <c r="K319" s="22"/>
    </row>
    <row r="320" spans="2:11" x14ac:dyDescent="0.35">
      <c r="B320" s="22">
        <v>701</v>
      </c>
      <c r="C320" s="22" t="s">
        <v>541</v>
      </c>
      <c r="D320" s="22" t="s">
        <v>542</v>
      </c>
      <c r="E320" s="22">
        <v>70102</v>
      </c>
      <c r="F320" s="63" t="s">
        <v>407</v>
      </c>
      <c r="G320" s="34">
        <v>22</v>
      </c>
      <c r="H320" s="64">
        <v>7.45</v>
      </c>
      <c r="I320" s="67">
        <v>0.05</v>
      </c>
      <c r="J320" s="34">
        <v>1</v>
      </c>
      <c r="K320" s="66">
        <v>4.5454545454545456E-2</v>
      </c>
    </row>
    <row r="321" spans="2:11" x14ac:dyDescent="0.35">
      <c r="B321" s="22">
        <v>701</v>
      </c>
      <c r="C321" s="22" t="s">
        <v>541</v>
      </c>
      <c r="D321" s="22" t="s">
        <v>542</v>
      </c>
      <c r="E321" s="22">
        <v>70103</v>
      </c>
      <c r="F321" s="63" t="s">
        <v>408</v>
      </c>
      <c r="G321" s="34">
        <v>9</v>
      </c>
      <c r="H321" s="64">
        <v>6.31</v>
      </c>
      <c r="I321" s="67">
        <v>-0.14099999999999999</v>
      </c>
      <c r="J321" s="34"/>
      <c r="K321" s="22"/>
    </row>
    <row r="322" spans="2:11" x14ac:dyDescent="0.35">
      <c r="B322" s="22">
        <v>701</v>
      </c>
      <c r="C322" s="22" t="s">
        <v>541</v>
      </c>
      <c r="D322" s="22" t="s">
        <v>542</v>
      </c>
      <c r="E322" s="22">
        <v>70104</v>
      </c>
      <c r="F322" s="63" t="s">
        <v>409</v>
      </c>
      <c r="G322" s="34">
        <v>11</v>
      </c>
      <c r="H322" s="64">
        <v>7.07</v>
      </c>
      <c r="I322" s="67">
        <v>-0.06</v>
      </c>
      <c r="J322" s="34"/>
      <c r="K322" s="22"/>
    </row>
    <row r="323" spans="2:11" x14ac:dyDescent="0.35">
      <c r="B323" s="22">
        <v>702</v>
      </c>
      <c r="C323" s="22" t="s">
        <v>543</v>
      </c>
      <c r="D323" s="22" t="s">
        <v>542</v>
      </c>
      <c r="E323" s="22">
        <v>70201</v>
      </c>
      <c r="F323" s="63" t="s">
        <v>410</v>
      </c>
      <c r="G323" s="34">
        <v>8</v>
      </c>
      <c r="H323" s="64">
        <v>8.25</v>
      </c>
      <c r="I323" s="67">
        <v>4.7E-2</v>
      </c>
      <c r="J323" s="34">
        <v>1</v>
      </c>
      <c r="K323" s="66">
        <v>0.125</v>
      </c>
    </row>
    <row r="324" spans="2:11" x14ac:dyDescent="0.35">
      <c r="B324" s="22">
        <v>702</v>
      </c>
      <c r="C324" s="22" t="s">
        <v>543</v>
      </c>
      <c r="D324" s="22" t="s">
        <v>542</v>
      </c>
      <c r="E324" s="22">
        <v>70203</v>
      </c>
      <c r="F324" s="63" t="s">
        <v>412</v>
      </c>
      <c r="G324" s="34"/>
      <c r="H324" s="64"/>
      <c r="I324" s="67">
        <v>0</v>
      </c>
      <c r="J324" s="34"/>
      <c r="K324" s="22"/>
    </row>
    <row r="325" spans="2:11" x14ac:dyDescent="0.35">
      <c r="B325" s="22">
        <v>702</v>
      </c>
      <c r="C325" s="22" t="s">
        <v>543</v>
      </c>
      <c r="D325" s="22" t="s">
        <v>542</v>
      </c>
      <c r="E325" s="22">
        <v>70204</v>
      </c>
      <c r="F325" s="63" t="s">
        <v>413</v>
      </c>
      <c r="G325" s="34" t="s">
        <v>464</v>
      </c>
      <c r="H325" s="64"/>
      <c r="I325" s="67"/>
      <c r="J325" s="34"/>
      <c r="K325" s="22"/>
    </row>
    <row r="326" spans="2:11" x14ac:dyDescent="0.35">
      <c r="B326" s="22">
        <v>702</v>
      </c>
      <c r="C326" s="22" t="s">
        <v>543</v>
      </c>
      <c r="D326" s="22" t="s">
        <v>542</v>
      </c>
      <c r="E326" s="22">
        <v>70205</v>
      </c>
      <c r="F326" s="63" t="s">
        <v>414</v>
      </c>
      <c r="G326" s="34" t="s">
        <v>464</v>
      </c>
      <c r="H326" s="64"/>
      <c r="I326" s="67"/>
      <c r="J326" s="34"/>
      <c r="K326" s="22"/>
    </row>
    <row r="327" spans="2:11" x14ac:dyDescent="0.35">
      <c r="B327" s="22">
        <v>801</v>
      </c>
      <c r="C327" s="22" t="s">
        <v>544</v>
      </c>
      <c r="D327" s="22" t="s">
        <v>544</v>
      </c>
      <c r="E327" s="22">
        <v>80101</v>
      </c>
      <c r="F327" s="63" t="s">
        <v>415</v>
      </c>
      <c r="G327" s="34">
        <v>23</v>
      </c>
      <c r="H327" s="64">
        <v>9.83</v>
      </c>
      <c r="I327" s="67">
        <v>-2.2000000000000002E-2</v>
      </c>
      <c r="J327" s="34">
        <v>12</v>
      </c>
      <c r="K327" s="66">
        <v>0.52173913043478259</v>
      </c>
    </row>
    <row r="328" spans="2:11" x14ac:dyDescent="0.35">
      <c r="B328" s="22">
        <v>801</v>
      </c>
      <c r="C328" s="22" t="s">
        <v>544</v>
      </c>
      <c r="D328" s="22" t="s">
        <v>544</v>
      </c>
      <c r="E328" s="22">
        <v>80104</v>
      </c>
      <c r="F328" s="63" t="s">
        <v>417</v>
      </c>
      <c r="G328" s="34">
        <v>11</v>
      </c>
      <c r="H328" s="64">
        <v>9.6</v>
      </c>
      <c r="I328" s="67">
        <v>4.7E-2</v>
      </c>
      <c r="J328" s="34">
        <v>1</v>
      </c>
      <c r="K328" s="66">
        <v>9.0909090909090912E-2</v>
      </c>
    </row>
    <row r="329" spans="2:11" x14ac:dyDescent="0.35">
      <c r="B329" s="22">
        <v>801</v>
      </c>
      <c r="C329" s="22" t="s">
        <v>544</v>
      </c>
      <c r="D329" s="22" t="s">
        <v>544</v>
      </c>
      <c r="E329" s="22">
        <v>80105</v>
      </c>
      <c r="F329" s="63" t="s">
        <v>418</v>
      </c>
      <c r="G329" s="34">
        <v>13</v>
      </c>
      <c r="H329" s="64">
        <v>9.4700000000000006</v>
      </c>
      <c r="I329" s="67">
        <v>-0.02</v>
      </c>
      <c r="J329" s="34">
        <v>5</v>
      </c>
      <c r="K329" s="66">
        <v>0.38461538461538464</v>
      </c>
    </row>
    <row r="330" spans="2:11" x14ac:dyDescent="0.35">
      <c r="B330" s="22">
        <v>801</v>
      </c>
      <c r="C330" s="22" t="s">
        <v>544</v>
      </c>
      <c r="D330" s="22" t="s">
        <v>544</v>
      </c>
      <c r="E330" s="22">
        <v>80106</v>
      </c>
      <c r="F330" s="63" t="s">
        <v>419</v>
      </c>
      <c r="G330" s="34">
        <v>11</v>
      </c>
      <c r="H330" s="64">
        <v>9.65</v>
      </c>
      <c r="I330" s="67">
        <v>-9.1999999999999998E-2</v>
      </c>
      <c r="J330" s="34">
        <v>2</v>
      </c>
      <c r="K330" s="66">
        <v>0.18181818181818182</v>
      </c>
    </row>
    <row r="331" spans="2:11" x14ac:dyDescent="0.35">
      <c r="B331" s="22">
        <v>801</v>
      </c>
      <c r="C331" s="22" t="s">
        <v>544</v>
      </c>
      <c r="D331" s="22" t="s">
        <v>544</v>
      </c>
      <c r="E331" s="22">
        <v>80107</v>
      </c>
      <c r="F331" s="63" t="s">
        <v>420</v>
      </c>
      <c r="G331" s="34">
        <v>21</v>
      </c>
      <c r="H331" s="64">
        <v>9.89</v>
      </c>
      <c r="I331" s="67">
        <v>8.0000000000000002E-3</v>
      </c>
      <c r="J331" s="34">
        <v>10</v>
      </c>
      <c r="K331" s="66">
        <v>0.47619047619047616</v>
      </c>
    </row>
    <row r="332" spans="2:11" x14ac:dyDescent="0.35">
      <c r="B332" s="22">
        <v>801</v>
      </c>
      <c r="C332" s="22" t="s">
        <v>544</v>
      </c>
      <c r="D332" s="22" t="s">
        <v>544</v>
      </c>
      <c r="E332" s="22">
        <v>80108</v>
      </c>
      <c r="F332" s="63" t="s">
        <v>421</v>
      </c>
      <c r="G332" s="34">
        <v>9</v>
      </c>
      <c r="H332" s="64">
        <v>10.029999999999999</v>
      </c>
      <c r="I332" s="67">
        <v>-1.1000000000000001E-2</v>
      </c>
      <c r="J332" s="34">
        <v>3</v>
      </c>
      <c r="K332" s="66">
        <v>0.33333333333333331</v>
      </c>
    </row>
    <row r="333" spans="2:11" x14ac:dyDescent="0.35">
      <c r="B333" s="22">
        <v>801</v>
      </c>
      <c r="C333" s="22" t="s">
        <v>544</v>
      </c>
      <c r="D333" s="22" t="s">
        <v>544</v>
      </c>
      <c r="E333" s="22">
        <v>80109</v>
      </c>
      <c r="F333" s="63" t="s">
        <v>422</v>
      </c>
      <c r="G333" s="34">
        <v>11</v>
      </c>
      <c r="H333" s="64">
        <v>9.3699999999999992</v>
      </c>
      <c r="I333" s="67">
        <v>-0.05</v>
      </c>
      <c r="J333" s="34">
        <v>1</v>
      </c>
      <c r="K333" s="66">
        <v>9.0909090909090912E-2</v>
      </c>
    </row>
    <row r="334" spans="2:11" x14ac:dyDescent="0.35">
      <c r="B334" s="22">
        <v>801</v>
      </c>
      <c r="C334" s="22" t="s">
        <v>544</v>
      </c>
      <c r="D334" s="22" t="s">
        <v>544</v>
      </c>
      <c r="E334" s="22">
        <v>80110</v>
      </c>
      <c r="F334" s="63" t="s">
        <v>423</v>
      </c>
      <c r="G334" s="34" t="s">
        <v>464</v>
      </c>
      <c r="H334" s="64"/>
      <c r="I334" s="67"/>
      <c r="J334" s="34"/>
      <c r="K334" s="22"/>
    </row>
    <row r="336" spans="2:11" x14ac:dyDescent="0.35">
      <c r="B336" s="68" t="s">
        <v>547</v>
      </c>
    </row>
    <row r="337" spans="2:2" x14ac:dyDescent="0.35">
      <c r="B337" s="68" t="s">
        <v>548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Contents</vt:lpstr>
      <vt:lpstr>Summary </vt:lpstr>
      <vt:lpstr>Children</vt:lpstr>
      <vt:lpstr>Families</vt:lpstr>
      <vt:lpstr>Services</vt:lpstr>
      <vt:lpstr>Ave Hourly Fees</vt:lpstr>
      <vt:lpstr>Statistical Area</vt:lpstr>
      <vt:lpstr>Ave Weekly Hours</vt:lpstr>
      <vt:lpstr>ACCS</vt:lpstr>
      <vt:lpstr>CBDC fees</vt:lpstr>
      <vt:lpstr>OSHC fees</vt:lpstr>
    </vt:vector>
  </TitlesOfParts>
  <Company>Australian Government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MATHEW,Kevin</dc:creator>
  <cp:lastModifiedBy>Chloe Wong</cp:lastModifiedBy>
  <dcterms:created xsi:type="dcterms:W3CDTF">2019-02-21T03:03:03Z</dcterms:created>
  <dcterms:modified xsi:type="dcterms:W3CDTF">2026-03-17T10:50:49Z</dcterms:modified>
</cp:coreProperties>
</file>